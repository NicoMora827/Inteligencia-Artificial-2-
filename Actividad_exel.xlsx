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mina" sheetId="1" state="visible" r:id="rId3"/>
    <sheet name="Personal" sheetId="2" state="visible" r:id="rId4"/>
    <sheet name="R.H." sheetId="3" state="visible" r:id="rId5"/>
    <sheet name="Contratacion" sheetId="4" state="visible" r:id="rId6"/>
    <sheet name="Consolidado" sheetId="5" state="visible" r:id="rId7"/>
  </sheets>
  <definedNames>
    <definedName function="false" hidden="true" localSheetId="4" name="_xlnm._FilterDatabase" vbProcedure="false">Consolidado!$A$1:$Q$21</definedName>
    <definedName function="false" hidden="true" localSheetId="3" name="_xlnm._FilterDatabase" vbProcedure="false">Contratacion!$A$1:$H$21</definedName>
    <definedName function="false" hidden="true" localSheetId="0" name="_xlnm._FilterDatabase" vbProcedure="false">Nomina!$A$1:$H$21</definedName>
    <definedName function="false" hidden="true" localSheetId="1" name="_xlnm._FilterDatabase" vbProcedure="false">Personal!$A$1:$G$21</definedName>
    <definedName function="false" hidden="true" localSheetId="2" name="_xlnm._FilterDatabase" vbProcedure="false">'R.H.'!$A$1:$G$21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<sst xmlns="http://schemas.openxmlformats.org/spreadsheetml/2006/main" count="467" uniqueCount="121">
  <si>
    <t xml:space="preserve">ID Empleado</t>
  </si>
  <si>
    <t xml:space="preserve">Nombre</t>
  </si>
  <si>
    <t xml:space="preserve">Cargo</t>
  </si>
  <si>
    <t xml:space="preserve">Salario Base</t>
  </si>
  <si>
    <t xml:space="preserve">Bonificación</t>
  </si>
  <si>
    <t xml:space="preserve">Auxilio</t>
  </si>
  <si>
    <t xml:space="preserve">Descuentos</t>
  </si>
  <si>
    <t xml:space="preserve">Neto Pagado</t>
  </si>
  <si>
    <t xml:space="preserve">Ana Gómez</t>
  </si>
  <si>
    <t xml:space="preserve">Administradora</t>
  </si>
  <si>
    <t xml:space="preserve">Carlos Pérez</t>
  </si>
  <si>
    <t xml:space="preserve">Analista</t>
  </si>
  <si>
    <t xml:space="preserve">Laura Rodríguez</t>
  </si>
  <si>
    <t xml:space="preserve">Contadora</t>
  </si>
  <si>
    <t xml:space="preserve">Juan Martínez</t>
  </si>
  <si>
    <t xml:space="preserve">Desarrollador</t>
  </si>
  <si>
    <t xml:space="preserve">María López</t>
  </si>
  <si>
    <t xml:space="preserve">Diseñadora</t>
  </si>
  <si>
    <t xml:space="preserve">Diego Torres</t>
  </si>
  <si>
    <t xml:space="preserve">Técnico</t>
  </si>
  <si>
    <t xml:space="preserve">Sofía Ramírez</t>
  </si>
  <si>
    <t xml:space="preserve">Recursos Humanos</t>
  </si>
  <si>
    <t xml:space="preserve">Andrés Castro</t>
  </si>
  <si>
    <t xml:space="preserve">Supervisor</t>
  </si>
  <si>
    <t xml:space="preserve">Valentina Ruiz</t>
  </si>
  <si>
    <t xml:space="preserve">Secretaria</t>
  </si>
  <si>
    <t xml:space="preserve">Mateo Herrera</t>
  </si>
  <si>
    <t xml:space="preserve">Ingeniero</t>
  </si>
  <si>
    <t xml:space="preserve">Camila Vargas</t>
  </si>
  <si>
    <t xml:space="preserve">Mercadeo</t>
  </si>
  <si>
    <t xml:space="preserve">Sebastián Moreno</t>
  </si>
  <si>
    <t xml:space="preserve">Vendedor</t>
  </si>
  <si>
    <t xml:space="preserve">Paula Sánchez</t>
  </si>
  <si>
    <t xml:space="preserve">Abogada</t>
  </si>
  <si>
    <t xml:space="preserve">Felipe Díaz</t>
  </si>
  <si>
    <t xml:space="preserve">Logística</t>
  </si>
  <si>
    <t xml:space="preserve">Natalia Rojas</t>
  </si>
  <si>
    <t xml:space="preserve">Psicóloga</t>
  </si>
  <si>
    <t xml:space="preserve">Daniel Ortiz</t>
  </si>
  <si>
    <t xml:space="preserve">Soporte TI</t>
  </si>
  <si>
    <t xml:space="preserve">Juliana Molina</t>
  </si>
  <si>
    <t xml:space="preserve">Asistente</t>
  </si>
  <si>
    <t xml:space="preserve">Santiago León</t>
  </si>
  <si>
    <t xml:space="preserve">Arquitecto</t>
  </si>
  <si>
    <t xml:space="preserve">Isabella Peña</t>
  </si>
  <si>
    <t xml:space="preserve">Comercial</t>
  </si>
  <si>
    <t xml:space="preserve">Nicolás Silva</t>
  </si>
  <si>
    <t xml:space="preserve">Coordinador</t>
  </si>
  <si>
    <t xml:space="preserve">Área</t>
  </si>
  <si>
    <t xml:space="preserve">Ciudad</t>
  </si>
  <si>
    <t xml:space="preserve">Fecha Ingreso</t>
  </si>
  <si>
    <t xml:space="preserve">Tipo Contrato</t>
  </si>
  <si>
    <t xml:space="preserve">Administración</t>
  </si>
  <si>
    <t xml:space="preserve">Bogotá</t>
  </si>
  <si>
    <t xml:space="preserve">2022-02-14</t>
  </si>
  <si>
    <t xml:space="preserve">Indefinido</t>
  </si>
  <si>
    <t xml:space="preserve">Finanzas</t>
  </si>
  <si>
    <t xml:space="preserve">Medellín</t>
  </si>
  <si>
    <t xml:space="preserve">2021-08-09</t>
  </si>
  <si>
    <t xml:space="preserve">2020-05-18</t>
  </si>
  <si>
    <t xml:space="preserve">Tecnología</t>
  </si>
  <si>
    <t xml:space="preserve">Cali</t>
  </si>
  <si>
    <t xml:space="preserve">2023-01-23</t>
  </si>
  <si>
    <t xml:space="preserve">Diseño</t>
  </si>
  <si>
    <t xml:space="preserve">2022-07-11</t>
  </si>
  <si>
    <t xml:space="preserve">Operaciones</t>
  </si>
  <si>
    <t xml:space="preserve">Barranquilla</t>
  </si>
  <si>
    <t xml:space="preserve">2024-03-04</t>
  </si>
  <si>
    <t xml:space="preserve">Término fijo</t>
  </si>
  <si>
    <t xml:space="preserve">R.H.</t>
  </si>
  <si>
    <t xml:space="preserve">2021-11-15</t>
  </si>
  <si>
    <t xml:space="preserve">2019-09-30</t>
  </si>
  <si>
    <t xml:space="preserve">2024-01-08</t>
  </si>
  <si>
    <t xml:space="preserve">Ingeniería</t>
  </si>
  <si>
    <t xml:space="preserve">2018-06-25</t>
  </si>
  <si>
    <t xml:space="preserve">2022-04-12</t>
  </si>
  <si>
    <t xml:space="preserve">2023-10-02</t>
  </si>
  <si>
    <t xml:space="preserve">Legal</t>
  </si>
  <si>
    <t xml:space="preserve">2020-12-01</t>
  </si>
  <si>
    <t xml:space="preserve">2021-03-22</t>
  </si>
  <si>
    <t xml:space="preserve">2022-09-19</t>
  </si>
  <si>
    <t xml:space="preserve">2023-02-06</t>
  </si>
  <si>
    <t xml:space="preserve">2024-05-13</t>
  </si>
  <si>
    <t xml:space="preserve">2019-07-29</t>
  </si>
  <si>
    <t xml:space="preserve">2022-12-05</t>
  </si>
  <si>
    <t xml:space="preserve">2020-08-17</t>
  </si>
  <si>
    <t xml:space="preserve">Estado</t>
  </si>
  <si>
    <t xml:space="preserve">Nivel Desempeño</t>
  </si>
  <si>
    <t xml:space="preserve">Última Evaluación</t>
  </si>
  <si>
    <t xml:space="preserve">Resultado</t>
  </si>
  <si>
    <t xml:space="preserve">Activa</t>
  </si>
  <si>
    <t xml:space="preserve">Alto</t>
  </si>
  <si>
    <t xml:space="preserve">2026-08-15</t>
  </si>
  <si>
    <t xml:space="preserve">Excelente</t>
  </si>
  <si>
    <t xml:space="preserve">Medio</t>
  </si>
  <si>
    <t xml:space="preserve">2026-08-20</t>
  </si>
  <si>
    <t xml:space="preserve">Bueno</t>
  </si>
  <si>
    <t xml:space="preserve">2026-08-12</t>
  </si>
  <si>
    <t xml:space="preserve">2026-08-18</t>
  </si>
  <si>
    <t xml:space="preserve">2026-08-21</t>
  </si>
  <si>
    <t xml:space="preserve">Activo</t>
  </si>
  <si>
    <t xml:space="preserve">Bajo</t>
  </si>
  <si>
    <t xml:space="preserve">2026-08-10</t>
  </si>
  <si>
    <t xml:space="preserve">2026-08-22</t>
  </si>
  <si>
    <t xml:space="preserve">2026-08-17</t>
  </si>
  <si>
    <t xml:space="preserve">2026-08-14</t>
  </si>
  <si>
    <t xml:space="preserve">2026-08-25</t>
  </si>
  <si>
    <t xml:space="preserve">2026-08-19</t>
  </si>
  <si>
    <t xml:space="preserve">2026-08-11</t>
  </si>
  <si>
    <t xml:space="preserve">2026-08-23</t>
  </si>
  <si>
    <t xml:space="preserve">2026-08-16</t>
  </si>
  <si>
    <t xml:space="preserve">2026-08-24</t>
  </si>
  <si>
    <t xml:space="preserve">2026-08-13</t>
  </si>
  <si>
    <t xml:space="preserve">2026-08-09</t>
  </si>
  <si>
    <t xml:space="preserve">2026-08-26</t>
  </si>
  <si>
    <t xml:space="preserve">2026-08-27</t>
  </si>
  <si>
    <t xml:space="preserve">Fecha Contratación</t>
  </si>
  <si>
    <t xml:space="preserve">Nivel Formación</t>
  </si>
  <si>
    <t xml:space="preserve">Fecha Inicio</t>
  </si>
  <si>
    <t xml:space="preserve">Profesional</t>
  </si>
  <si>
    <t xml:space="preserve">Tecnólogo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</si>
</sst>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8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1001</v>
      </c>
      <c r="B2" s="0" t="s">
        <v>8</v>
      </c>
      <c r="C2" s="0" t="s">
        <v>9</v>
      </c>
      <c r="D2" s="0" t="n">
        <v>2800000</v>
      </c>
      <c r="E2" s="0" t="n">
        <v>200000</v>
      </c>
      <c r="F2" s="0" t="n">
        <v>150000</v>
      </c>
      <c r="G2" s="0" t="n">
        <v>0</v>
      </c>
      <c r="H2" s="0" t="n">
        <v>2850000</v>
      </c>
    </row>
    <row r="3" customFormat="false" ht="15" hidden="false" customHeight="false" outlineLevel="0" collapsed="false">
      <c r="A3" s="0" t="n">
        <v>1002</v>
      </c>
      <c r="B3" s="0" t="s">
        <v>10</v>
      </c>
      <c r="C3" s="0" t="s">
        <v>11</v>
      </c>
      <c r="D3" s="0" t="n">
        <v>3200000</v>
      </c>
      <c r="E3" s="0" t="n">
        <v>250000</v>
      </c>
      <c r="F3" s="0" t="n">
        <v>180000</v>
      </c>
      <c r="G3" s="0" t="n">
        <v>0</v>
      </c>
      <c r="H3" s="0" t="n">
        <v>3270000</v>
      </c>
    </row>
    <row r="4" customFormat="false" ht="15" hidden="false" customHeight="false" outlineLevel="0" collapsed="false">
      <c r="A4" s="0" t="n">
        <v>1003</v>
      </c>
      <c r="B4" s="0" t="s">
        <v>12</v>
      </c>
      <c r="C4" s="0" t="s">
        <v>13</v>
      </c>
      <c r="D4" s="0" t="n">
        <v>3500000</v>
      </c>
      <c r="E4" s="0" t="n">
        <v>300000</v>
      </c>
      <c r="F4" s="0" t="n">
        <v>200000</v>
      </c>
      <c r="G4" s="0" t="n">
        <v>100000</v>
      </c>
      <c r="H4" s="0" t="n">
        <v>3500000</v>
      </c>
    </row>
    <row r="5" customFormat="false" ht="15" hidden="false" customHeight="false" outlineLevel="0" collapsed="false">
      <c r="A5" s="0" t="n">
        <v>1004</v>
      </c>
      <c r="B5" s="0" t="s">
        <v>14</v>
      </c>
      <c r="C5" s="0" t="s">
        <v>15</v>
      </c>
      <c r="D5" s="0" t="n">
        <v>4200000</v>
      </c>
      <c r="E5" s="0" t="n">
        <v>350000</v>
      </c>
      <c r="F5" s="0" t="n">
        <v>250000</v>
      </c>
      <c r="G5" s="0" t="n">
        <v>0</v>
      </c>
      <c r="H5" s="0" t="n">
        <v>4300000</v>
      </c>
    </row>
    <row r="6" customFormat="false" ht="15" hidden="false" customHeight="false" outlineLevel="0" collapsed="false">
      <c r="A6" s="0" t="n">
        <v>1005</v>
      </c>
      <c r="B6" s="0" t="s">
        <v>16</v>
      </c>
      <c r="C6" s="0" t="s">
        <v>17</v>
      </c>
      <c r="D6" s="0" t="n">
        <v>3000000</v>
      </c>
      <c r="E6" s="0" t="n">
        <v>220000</v>
      </c>
      <c r="F6" s="0" t="n">
        <v>160000</v>
      </c>
      <c r="G6" s="0" t="n">
        <v>0</v>
      </c>
      <c r="H6" s="0" t="n">
        <v>3060000</v>
      </c>
    </row>
    <row r="7" customFormat="false" ht="15" hidden="false" customHeight="false" outlineLevel="0" collapsed="false">
      <c r="A7" s="0" t="n">
        <v>1006</v>
      </c>
      <c r="B7" s="0" t="s">
        <v>18</v>
      </c>
      <c r="C7" s="0" t="s">
        <v>19</v>
      </c>
      <c r="D7" s="0" t="n">
        <v>2600000</v>
      </c>
      <c r="E7" s="0" t="n">
        <v>180000</v>
      </c>
      <c r="F7" s="0" t="n">
        <v>120000</v>
      </c>
      <c r="G7" s="0" t="n">
        <v>50000</v>
      </c>
      <c r="H7" s="0" t="n">
        <v>2610000</v>
      </c>
    </row>
    <row r="8" customFormat="false" ht="15" hidden="false" customHeight="false" outlineLevel="0" collapsed="false">
      <c r="A8" s="0" t="n">
        <v>1007</v>
      </c>
      <c r="B8" s="0" t="s">
        <v>20</v>
      </c>
      <c r="C8" s="0" t="s">
        <v>21</v>
      </c>
      <c r="D8" s="0" t="n">
        <v>3300000</v>
      </c>
      <c r="E8" s="0" t="n">
        <v>240000</v>
      </c>
      <c r="F8" s="0" t="n">
        <v>170000</v>
      </c>
      <c r="G8" s="0" t="n">
        <v>0</v>
      </c>
      <c r="H8" s="0" t="n">
        <v>3370000</v>
      </c>
    </row>
    <row r="9" customFormat="false" ht="15" hidden="false" customHeight="false" outlineLevel="0" collapsed="false">
      <c r="A9" s="0" t="n">
        <v>1008</v>
      </c>
      <c r="B9" s="0" t="s">
        <v>22</v>
      </c>
      <c r="C9" s="0" t="s">
        <v>23</v>
      </c>
      <c r="D9" s="0" t="n">
        <v>3800000</v>
      </c>
      <c r="E9" s="0" t="n">
        <v>280000</v>
      </c>
      <c r="F9" s="0" t="n">
        <v>210000</v>
      </c>
      <c r="G9" s="0" t="n">
        <v>0</v>
      </c>
      <c r="H9" s="0" t="n">
        <v>3870000</v>
      </c>
    </row>
    <row r="10" customFormat="false" ht="15" hidden="false" customHeight="false" outlineLevel="0" collapsed="false">
      <c r="A10" s="0" t="n">
        <v>1009</v>
      </c>
      <c r="B10" s="0" t="s">
        <v>24</v>
      </c>
      <c r="C10" s="0" t="s">
        <v>25</v>
      </c>
      <c r="D10" s="0" t="n">
        <v>2400000</v>
      </c>
      <c r="E10" s="0" t="n">
        <v>150000</v>
      </c>
      <c r="F10" s="0" t="n">
        <v>100000</v>
      </c>
      <c r="G10" s="0" t="n">
        <v>0</v>
      </c>
      <c r="H10" s="0" t="n">
        <v>2450000</v>
      </c>
    </row>
    <row r="11" customFormat="false" ht="15" hidden="false" customHeight="false" outlineLevel="0" collapsed="false">
      <c r="A11" s="0" t="n">
        <v>1010</v>
      </c>
      <c r="B11" s="0" t="s">
        <v>26</v>
      </c>
      <c r="C11" s="0" t="s">
        <v>27</v>
      </c>
      <c r="D11" s="0" t="n">
        <v>4500000</v>
      </c>
      <c r="E11" s="0" t="n">
        <v>400000</v>
      </c>
      <c r="F11" s="0" t="n">
        <v>300000</v>
      </c>
      <c r="G11" s="0" t="n">
        <v>150000</v>
      </c>
      <c r="H11" s="0" t="n">
        <v>4750000</v>
      </c>
    </row>
    <row r="12" customFormat="false" ht="15" hidden="false" customHeight="false" outlineLevel="0" collapsed="false">
      <c r="A12" s="0" t="n">
        <v>1011</v>
      </c>
      <c r="B12" s="0" t="s">
        <v>28</v>
      </c>
      <c r="C12" s="0" t="s">
        <v>29</v>
      </c>
      <c r="D12" s="0" t="n">
        <v>3100000</v>
      </c>
      <c r="E12" s="0" t="n">
        <v>210000</v>
      </c>
      <c r="F12" s="0" t="n">
        <v>140000</v>
      </c>
      <c r="G12" s="0" t="n">
        <v>0</v>
      </c>
      <c r="H12" s="0" t="n">
        <v>3170000</v>
      </c>
    </row>
    <row r="13" customFormat="false" ht="15" hidden="false" customHeight="false" outlineLevel="0" collapsed="false">
      <c r="A13" s="0" t="n">
        <v>1012</v>
      </c>
      <c r="B13" s="0" t="s">
        <v>30</v>
      </c>
      <c r="C13" s="0" t="s">
        <v>31</v>
      </c>
      <c r="D13" s="0" t="n">
        <v>2700000</v>
      </c>
      <c r="E13" s="0" t="n">
        <v>190000</v>
      </c>
      <c r="F13" s="0" t="n">
        <v>130000</v>
      </c>
      <c r="G13" s="0" t="n">
        <v>200000</v>
      </c>
      <c r="H13" s="0" t="n">
        <v>2560000</v>
      </c>
    </row>
    <row r="14" customFormat="false" ht="15" hidden="false" customHeight="false" outlineLevel="0" collapsed="false">
      <c r="A14" s="0" t="n">
        <v>1013</v>
      </c>
      <c r="B14" s="0" t="s">
        <v>32</v>
      </c>
      <c r="C14" s="0" t="s">
        <v>33</v>
      </c>
      <c r="D14" s="0" t="n">
        <v>4000000</v>
      </c>
      <c r="E14" s="0" t="n">
        <v>320000</v>
      </c>
      <c r="F14" s="0" t="n">
        <v>220000</v>
      </c>
      <c r="G14" s="0" t="n">
        <v>0</v>
      </c>
      <c r="H14" s="0" t="n">
        <v>4100000</v>
      </c>
    </row>
    <row r="15" customFormat="false" ht="15" hidden="false" customHeight="false" outlineLevel="0" collapsed="false">
      <c r="A15" s="0" t="n">
        <v>1014</v>
      </c>
      <c r="B15" s="0" t="s">
        <v>34</v>
      </c>
      <c r="C15" s="0" t="s">
        <v>35</v>
      </c>
      <c r="D15" s="0" t="n">
        <v>2900000</v>
      </c>
      <c r="E15" s="0" t="n">
        <v>200000</v>
      </c>
      <c r="F15" s="0" t="n">
        <v>150000</v>
      </c>
      <c r="G15" s="0" t="n">
        <v>0</v>
      </c>
      <c r="H15" s="0" t="n">
        <v>2950000</v>
      </c>
    </row>
    <row r="16" customFormat="false" ht="15" hidden="false" customHeight="false" outlineLevel="0" collapsed="false">
      <c r="A16" s="0" t="n">
        <v>1015</v>
      </c>
      <c r="B16" s="0" t="s">
        <v>36</v>
      </c>
      <c r="C16" s="0" t="s">
        <v>37</v>
      </c>
      <c r="D16" s="0" t="n">
        <v>3400000</v>
      </c>
      <c r="E16" s="0" t="n">
        <v>230000</v>
      </c>
      <c r="F16" s="0" t="n">
        <v>180000</v>
      </c>
      <c r="G16" s="0" t="n">
        <v>0</v>
      </c>
      <c r="H16" s="0" t="n">
        <v>3450000</v>
      </c>
    </row>
    <row r="17" customFormat="false" ht="15" hidden="false" customHeight="false" outlineLevel="0" collapsed="false">
      <c r="A17" s="0" t="n">
        <v>1016</v>
      </c>
      <c r="B17" s="0" t="s">
        <v>38</v>
      </c>
      <c r="C17" s="0" t="s">
        <v>39</v>
      </c>
      <c r="D17" s="0" t="n">
        <v>3000000</v>
      </c>
      <c r="E17" s="0" t="n">
        <v>210000</v>
      </c>
      <c r="F17" s="0" t="n">
        <v>150000</v>
      </c>
      <c r="G17" s="0" t="n">
        <v>0</v>
      </c>
      <c r="H17" s="0" t="n">
        <v>3060000</v>
      </c>
    </row>
    <row r="18" customFormat="false" ht="15" hidden="false" customHeight="false" outlineLevel="0" collapsed="false">
      <c r="A18" s="0" t="n">
        <v>1017</v>
      </c>
      <c r="B18" s="0" t="s">
        <v>40</v>
      </c>
      <c r="C18" s="0" t="s">
        <v>41</v>
      </c>
      <c r="D18" s="0" t="n">
        <v>2300000</v>
      </c>
      <c r="E18" s="0" t="n">
        <v>140000</v>
      </c>
      <c r="F18" s="0" t="n">
        <v>90000</v>
      </c>
      <c r="G18" s="0" t="n">
        <v>0</v>
      </c>
      <c r="H18" s="0" t="n">
        <v>2350000</v>
      </c>
    </row>
    <row r="19" customFormat="false" ht="15" hidden="false" customHeight="false" outlineLevel="0" collapsed="false">
      <c r="A19" s="0" t="n">
        <v>1018</v>
      </c>
      <c r="B19" s="0" t="s">
        <v>42</v>
      </c>
      <c r="C19" s="0" t="s">
        <v>43</v>
      </c>
      <c r="D19" s="0" t="n">
        <v>4300000</v>
      </c>
      <c r="E19" s="0" t="n">
        <v>360000</v>
      </c>
      <c r="F19" s="0" t="n">
        <v>260000</v>
      </c>
      <c r="G19" s="0" t="n">
        <v>0</v>
      </c>
      <c r="H19" s="0" t="n">
        <v>4400000</v>
      </c>
    </row>
    <row r="20" customFormat="false" ht="15" hidden="false" customHeight="false" outlineLevel="0" collapsed="false">
      <c r="A20" s="0" t="n">
        <v>1019</v>
      </c>
      <c r="B20" s="0" t="s">
        <v>44</v>
      </c>
      <c r="C20" s="0" t="s">
        <v>45</v>
      </c>
      <c r="D20" s="0" t="n">
        <v>2800000</v>
      </c>
      <c r="E20" s="0" t="n">
        <v>180000</v>
      </c>
      <c r="F20" s="0" t="n">
        <v>120000</v>
      </c>
      <c r="G20" s="0" t="n">
        <v>100000</v>
      </c>
      <c r="H20" s="0" t="n">
        <v>2900000</v>
      </c>
    </row>
    <row r="21" customFormat="false" ht="15" hidden="false" customHeight="false" outlineLevel="0" collapsed="false">
      <c r="A21" s="0" t="n">
        <v>1020</v>
      </c>
      <c r="B21" s="0" t="s">
        <v>46</v>
      </c>
      <c r="C21" s="0" t="s">
        <v>47</v>
      </c>
      <c r="D21" s="0" t="n">
        <v>3900000</v>
      </c>
      <c r="E21" s="0" t="n">
        <v>300000</v>
      </c>
      <c r="F21" s="0" t="n">
        <v>220000</v>
      </c>
      <c r="G21" s="0" t="n">
        <v>0</v>
      </c>
      <c r="H21" s="0" t="n">
        <v>3980000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48</v>
      </c>
      <c r="D1" s="1" t="s">
        <v>2</v>
      </c>
      <c r="E1" s="1" t="s">
        <v>49</v>
      </c>
      <c r="F1" s="1" t="s">
        <v>50</v>
      </c>
      <c r="G1" s="1" t="s">
        <v>51</v>
      </c>
    </row>
    <row r="2" customFormat="false" ht="15" hidden="false" customHeight="false" outlineLevel="0" collapsed="false">
      <c r="A2" s="0" t="n">
        <v>1001</v>
      </c>
      <c r="B2" s="0" t="s">
        <v>8</v>
      </c>
      <c r="C2" s="0" t="s">
        <v>52</v>
      </c>
      <c r="D2" s="0" t="s">
        <v>9</v>
      </c>
      <c r="E2" s="0" t="s">
        <v>53</v>
      </c>
      <c r="F2" s="0" t="s">
        <v>54</v>
      </c>
      <c r="G2" s="0" t="s">
        <v>55</v>
      </c>
    </row>
    <row r="3" customFormat="false" ht="15" hidden="false" customHeight="false" outlineLevel="0" collapsed="false">
      <c r="A3" s="0" t="n">
        <v>1002</v>
      </c>
      <c r="B3" s="0" t="s">
        <v>10</v>
      </c>
      <c r="C3" s="0" t="s">
        <v>56</v>
      </c>
      <c r="D3" s="0" t="s">
        <v>11</v>
      </c>
      <c r="E3" s="0" t="s">
        <v>57</v>
      </c>
      <c r="F3" s="0" t="s">
        <v>58</v>
      </c>
      <c r="G3" s="0" t="s">
        <v>55</v>
      </c>
    </row>
    <row r="4" customFormat="false" ht="15" hidden="false" customHeight="false" outlineLevel="0" collapsed="false">
      <c r="A4" s="0" t="n">
        <v>1003</v>
      </c>
      <c r="B4" s="0" t="s">
        <v>12</v>
      </c>
      <c r="C4" s="0" t="s">
        <v>56</v>
      </c>
      <c r="D4" s="0" t="s">
        <v>13</v>
      </c>
      <c r="E4" s="0" t="s">
        <v>53</v>
      </c>
      <c r="F4" s="0" t="s">
        <v>59</v>
      </c>
      <c r="G4" s="0" t="s">
        <v>55</v>
      </c>
    </row>
    <row r="5" customFormat="false" ht="15" hidden="false" customHeight="false" outlineLevel="0" collapsed="false">
      <c r="A5" s="0" t="n">
        <v>1004</v>
      </c>
      <c r="B5" s="0" t="s">
        <v>14</v>
      </c>
      <c r="C5" s="0" t="s">
        <v>60</v>
      </c>
      <c r="D5" s="0" t="s">
        <v>15</v>
      </c>
      <c r="E5" s="0" t="s">
        <v>61</v>
      </c>
      <c r="F5" s="0" t="s">
        <v>62</v>
      </c>
      <c r="G5" s="0" t="s">
        <v>55</v>
      </c>
    </row>
    <row r="6" customFormat="false" ht="15" hidden="false" customHeight="false" outlineLevel="0" collapsed="false">
      <c r="A6" s="0" t="n">
        <v>1005</v>
      </c>
      <c r="B6" s="0" t="s">
        <v>16</v>
      </c>
      <c r="C6" s="0" t="s">
        <v>63</v>
      </c>
      <c r="D6" s="0" t="s">
        <v>17</v>
      </c>
      <c r="E6" s="0" t="s">
        <v>53</v>
      </c>
      <c r="F6" s="0" t="s">
        <v>64</v>
      </c>
      <c r="G6" s="0" t="s">
        <v>55</v>
      </c>
    </row>
    <row r="7" customFormat="false" ht="15" hidden="false" customHeight="false" outlineLevel="0" collapsed="false">
      <c r="A7" s="0" t="n">
        <v>1006</v>
      </c>
      <c r="B7" s="0" t="s">
        <v>18</v>
      </c>
      <c r="C7" s="0" t="s">
        <v>65</v>
      </c>
      <c r="D7" s="0" t="s">
        <v>19</v>
      </c>
      <c r="E7" s="0" t="s">
        <v>66</v>
      </c>
      <c r="F7" s="0" t="s">
        <v>67</v>
      </c>
      <c r="G7" s="0" t="s">
        <v>68</v>
      </c>
    </row>
    <row r="8" customFormat="false" ht="15" hidden="false" customHeight="false" outlineLevel="0" collapsed="false">
      <c r="A8" s="0" t="n">
        <v>1007</v>
      </c>
      <c r="B8" s="0" t="s">
        <v>20</v>
      </c>
      <c r="C8" s="0" t="s">
        <v>69</v>
      </c>
      <c r="D8" s="0" t="s">
        <v>21</v>
      </c>
      <c r="E8" s="0" t="s">
        <v>53</v>
      </c>
      <c r="F8" s="0" t="s">
        <v>70</v>
      </c>
      <c r="G8" s="0" t="s">
        <v>55</v>
      </c>
    </row>
    <row r="9" customFormat="false" ht="15" hidden="false" customHeight="false" outlineLevel="0" collapsed="false">
      <c r="A9" s="0" t="n">
        <v>1008</v>
      </c>
      <c r="B9" s="0" t="s">
        <v>22</v>
      </c>
      <c r="C9" s="0" t="s">
        <v>65</v>
      </c>
      <c r="D9" s="0" t="s">
        <v>23</v>
      </c>
      <c r="E9" s="0" t="s">
        <v>57</v>
      </c>
      <c r="F9" s="0" t="s">
        <v>71</v>
      </c>
      <c r="G9" s="0" t="s">
        <v>55</v>
      </c>
    </row>
    <row r="10" customFormat="false" ht="15" hidden="false" customHeight="false" outlineLevel="0" collapsed="false">
      <c r="A10" s="0" t="n">
        <v>1009</v>
      </c>
      <c r="B10" s="0" t="s">
        <v>24</v>
      </c>
      <c r="C10" s="0" t="s">
        <v>52</v>
      </c>
      <c r="D10" s="0" t="s">
        <v>25</v>
      </c>
      <c r="E10" s="0" t="s">
        <v>61</v>
      </c>
      <c r="F10" s="0" t="s">
        <v>72</v>
      </c>
      <c r="G10" s="0" t="s">
        <v>68</v>
      </c>
    </row>
    <row r="11" customFormat="false" ht="15" hidden="false" customHeight="false" outlineLevel="0" collapsed="false">
      <c r="A11" s="0" t="n">
        <v>1010</v>
      </c>
      <c r="B11" s="0" t="s">
        <v>26</v>
      </c>
      <c r="C11" s="0" t="s">
        <v>73</v>
      </c>
      <c r="D11" s="0" t="s">
        <v>27</v>
      </c>
      <c r="E11" s="0" t="s">
        <v>53</v>
      </c>
      <c r="F11" s="0" t="s">
        <v>74</v>
      </c>
      <c r="G11" s="0" t="s">
        <v>55</v>
      </c>
    </row>
    <row r="12" customFormat="false" ht="15" hidden="false" customHeight="false" outlineLevel="0" collapsed="false">
      <c r="A12" s="0" t="n">
        <v>1011</v>
      </c>
      <c r="B12" s="0" t="s">
        <v>28</v>
      </c>
      <c r="C12" s="0" t="s">
        <v>29</v>
      </c>
      <c r="D12" s="0" t="s">
        <v>29</v>
      </c>
      <c r="E12" s="0" t="s">
        <v>57</v>
      </c>
      <c r="F12" s="0" t="s">
        <v>75</v>
      </c>
      <c r="G12" s="0" t="s">
        <v>55</v>
      </c>
    </row>
    <row r="13" customFormat="false" ht="15" hidden="false" customHeight="false" outlineLevel="0" collapsed="false">
      <c r="A13" s="0" t="n">
        <v>1012</v>
      </c>
      <c r="B13" s="0" t="s">
        <v>30</v>
      </c>
      <c r="C13" s="0" t="s">
        <v>45</v>
      </c>
      <c r="D13" s="0" t="s">
        <v>31</v>
      </c>
      <c r="E13" s="0" t="s">
        <v>61</v>
      </c>
      <c r="F13" s="0" t="s">
        <v>76</v>
      </c>
      <c r="G13" s="0" t="s">
        <v>55</v>
      </c>
    </row>
    <row r="14" customFormat="false" ht="15" hidden="false" customHeight="false" outlineLevel="0" collapsed="false">
      <c r="A14" s="0" t="n">
        <v>1013</v>
      </c>
      <c r="B14" s="0" t="s">
        <v>32</v>
      </c>
      <c r="C14" s="0" t="s">
        <v>77</v>
      </c>
      <c r="D14" s="0" t="s">
        <v>33</v>
      </c>
      <c r="E14" s="0" t="s">
        <v>53</v>
      </c>
      <c r="F14" s="0" t="s">
        <v>78</v>
      </c>
      <c r="G14" s="0" t="s">
        <v>55</v>
      </c>
    </row>
    <row r="15" customFormat="false" ht="15" hidden="false" customHeight="false" outlineLevel="0" collapsed="false">
      <c r="A15" s="0" t="n">
        <v>1014</v>
      </c>
      <c r="B15" s="0" t="s">
        <v>34</v>
      </c>
      <c r="C15" s="0" t="s">
        <v>35</v>
      </c>
      <c r="D15" s="0" t="s">
        <v>35</v>
      </c>
      <c r="E15" s="0" t="s">
        <v>66</v>
      </c>
      <c r="F15" s="0" t="s">
        <v>79</v>
      </c>
      <c r="G15" s="0" t="s">
        <v>55</v>
      </c>
    </row>
    <row r="16" customFormat="false" ht="15" hidden="false" customHeight="false" outlineLevel="0" collapsed="false">
      <c r="A16" s="0" t="n">
        <v>1015</v>
      </c>
      <c r="B16" s="0" t="s">
        <v>36</v>
      </c>
      <c r="C16" s="0" t="s">
        <v>69</v>
      </c>
      <c r="D16" s="0" t="s">
        <v>37</v>
      </c>
      <c r="E16" s="0" t="s">
        <v>53</v>
      </c>
      <c r="F16" s="0" t="s">
        <v>80</v>
      </c>
      <c r="G16" s="0" t="s">
        <v>55</v>
      </c>
    </row>
    <row r="17" customFormat="false" ht="15" hidden="false" customHeight="false" outlineLevel="0" collapsed="false">
      <c r="A17" s="0" t="n">
        <v>1016</v>
      </c>
      <c r="B17" s="0" t="s">
        <v>38</v>
      </c>
      <c r="C17" s="0" t="s">
        <v>60</v>
      </c>
      <c r="D17" s="0" t="s">
        <v>39</v>
      </c>
      <c r="E17" s="0" t="s">
        <v>57</v>
      </c>
      <c r="F17" s="0" t="s">
        <v>81</v>
      </c>
      <c r="G17" s="0" t="s">
        <v>55</v>
      </c>
    </row>
    <row r="18" customFormat="false" ht="15" hidden="false" customHeight="false" outlineLevel="0" collapsed="false">
      <c r="A18" s="0" t="n">
        <v>1017</v>
      </c>
      <c r="B18" s="0" t="s">
        <v>40</v>
      </c>
      <c r="C18" s="0" t="s">
        <v>52</v>
      </c>
      <c r="D18" s="0" t="s">
        <v>41</v>
      </c>
      <c r="E18" s="0" t="s">
        <v>61</v>
      </c>
      <c r="F18" s="0" t="s">
        <v>82</v>
      </c>
      <c r="G18" s="0" t="s">
        <v>68</v>
      </c>
    </row>
    <row r="19" customFormat="false" ht="15" hidden="false" customHeight="false" outlineLevel="0" collapsed="false">
      <c r="A19" s="0" t="n">
        <v>1018</v>
      </c>
      <c r="B19" s="0" t="s">
        <v>42</v>
      </c>
      <c r="C19" s="0" t="s">
        <v>73</v>
      </c>
      <c r="D19" s="0" t="s">
        <v>43</v>
      </c>
      <c r="E19" s="0" t="s">
        <v>53</v>
      </c>
      <c r="F19" s="0" t="s">
        <v>83</v>
      </c>
      <c r="G19" s="0" t="s">
        <v>55</v>
      </c>
    </row>
    <row r="20" customFormat="false" ht="15" hidden="false" customHeight="false" outlineLevel="0" collapsed="false">
      <c r="A20" s="0" t="n">
        <v>1019</v>
      </c>
      <c r="B20" s="0" t="s">
        <v>44</v>
      </c>
      <c r="C20" s="0" t="s">
        <v>45</v>
      </c>
      <c r="D20" s="0" t="s">
        <v>45</v>
      </c>
      <c r="E20" s="0" t="s">
        <v>57</v>
      </c>
      <c r="F20" s="0" t="s">
        <v>84</v>
      </c>
      <c r="G20" s="0" t="s">
        <v>55</v>
      </c>
    </row>
    <row r="21" customFormat="false" ht="15" hidden="false" customHeight="false" outlineLevel="0" collapsed="false">
      <c r="A21" s="0" t="n">
        <v>1020</v>
      </c>
      <c r="B21" s="0" t="s">
        <v>46</v>
      </c>
      <c r="C21" s="0" t="s">
        <v>65</v>
      </c>
      <c r="D21" s="0" t="s">
        <v>47</v>
      </c>
      <c r="E21" s="0" t="s">
        <v>53</v>
      </c>
      <c r="F21" s="0" t="s">
        <v>85</v>
      </c>
      <c r="G21" s="0" t="s">
        <v>55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86</v>
      </c>
      <c r="D1" s="1" t="s">
        <v>48</v>
      </c>
      <c r="E1" s="1" t="s">
        <v>87</v>
      </c>
      <c r="F1" s="1" t="s">
        <v>88</v>
      </c>
      <c r="G1" s="1" t="s">
        <v>89</v>
      </c>
    </row>
    <row r="2" customFormat="false" ht="15" hidden="false" customHeight="false" outlineLevel="0" collapsed="false">
      <c r="A2" s="0" t="n">
        <v>1001</v>
      </c>
      <c r="B2" s="0" t="s">
        <v>8</v>
      </c>
      <c r="C2" s="0" t="s">
        <v>90</v>
      </c>
      <c r="D2" s="0" t="s">
        <v>52</v>
      </c>
      <c r="E2" s="0" t="s">
        <v>91</v>
      </c>
      <c r="F2" s="0" t="s">
        <v>92</v>
      </c>
      <c r="G2" s="0" t="s">
        <v>93</v>
      </c>
    </row>
    <row r="3" customFormat="false" ht="15" hidden="false" customHeight="false" outlineLevel="0" collapsed="false">
      <c r="A3" s="0" t="n">
        <v>1002</v>
      </c>
      <c r="B3" s="0" t="s">
        <v>10</v>
      </c>
      <c r="C3" s="0" t="s">
        <v>90</v>
      </c>
      <c r="D3" s="0" t="s">
        <v>56</v>
      </c>
      <c r="E3" s="0" t="s">
        <v>94</v>
      </c>
      <c r="F3" s="0" t="s">
        <v>95</v>
      </c>
      <c r="G3" s="0" t="s">
        <v>96</v>
      </c>
    </row>
    <row r="4" customFormat="false" ht="15" hidden="false" customHeight="false" outlineLevel="0" collapsed="false">
      <c r="A4" s="0" t="n">
        <v>1003</v>
      </c>
      <c r="B4" s="0" t="s">
        <v>12</v>
      </c>
      <c r="C4" s="0" t="s">
        <v>90</v>
      </c>
      <c r="D4" s="0" t="s">
        <v>56</v>
      </c>
      <c r="E4" s="0" t="s">
        <v>91</v>
      </c>
      <c r="F4" s="0" t="s">
        <v>97</v>
      </c>
      <c r="G4" s="0" t="s">
        <v>93</v>
      </c>
    </row>
    <row r="5" customFormat="false" ht="15" hidden="false" customHeight="false" outlineLevel="0" collapsed="false">
      <c r="A5" s="0" t="n">
        <v>1004</v>
      </c>
      <c r="B5" s="0" t="s">
        <v>14</v>
      </c>
      <c r="C5" s="0" t="s">
        <v>90</v>
      </c>
      <c r="D5" s="0" t="s">
        <v>60</v>
      </c>
      <c r="E5" s="0" t="s">
        <v>94</v>
      </c>
      <c r="F5" s="0" t="s">
        <v>98</v>
      </c>
      <c r="G5" s="0" t="s">
        <v>96</v>
      </c>
    </row>
    <row r="6" customFormat="false" ht="15" hidden="false" customHeight="false" outlineLevel="0" collapsed="false">
      <c r="A6" s="0" t="n">
        <v>1005</v>
      </c>
      <c r="B6" s="0" t="s">
        <v>16</v>
      </c>
      <c r="C6" s="0" t="s">
        <v>90</v>
      </c>
      <c r="D6" s="0" t="s">
        <v>63</v>
      </c>
      <c r="E6" s="0" t="s">
        <v>94</v>
      </c>
      <c r="F6" s="0" t="s">
        <v>99</v>
      </c>
      <c r="G6" s="0" t="s">
        <v>96</v>
      </c>
    </row>
    <row r="7" customFormat="false" ht="15" hidden="false" customHeight="false" outlineLevel="0" collapsed="false">
      <c r="A7" s="0" t="n">
        <v>1006</v>
      </c>
      <c r="B7" s="0" t="s">
        <v>18</v>
      </c>
      <c r="C7" s="0" t="s">
        <v>100</v>
      </c>
      <c r="D7" s="0" t="s">
        <v>65</v>
      </c>
      <c r="E7" s="0" t="s">
        <v>101</v>
      </c>
      <c r="F7" s="0" t="s">
        <v>102</v>
      </c>
      <c r="G7" s="0" t="s">
        <v>96</v>
      </c>
    </row>
    <row r="8" customFormat="false" ht="15" hidden="false" customHeight="false" outlineLevel="0" collapsed="false">
      <c r="A8" s="0" t="n">
        <v>1007</v>
      </c>
      <c r="B8" s="0" t="s">
        <v>20</v>
      </c>
      <c r="C8" s="0" t="s">
        <v>90</v>
      </c>
      <c r="D8" s="0" t="s">
        <v>69</v>
      </c>
      <c r="E8" s="0" t="s">
        <v>91</v>
      </c>
      <c r="F8" s="0" t="s">
        <v>103</v>
      </c>
      <c r="G8" s="0" t="s">
        <v>93</v>
      </c>
    </row>
    <row r="9" customFormat="false" ht="15" hidden="false" customHeight="false" outlineLevel="0" collapsed="false">
      <c r="A9" s="0" t="n">
        <v>1008</v>
      </c>
      <c r="B9" s="0" t="s">
        <v>22</v>
      </c>
      <c r="C9" s="0" t="s">
        <v>100</v>
      </c>
      <c r="D9" s="0" t="s">
        <v>65</v>
      </c>
      <c r="E9" s="0" t="s">
        <v>94</v>
      </c>
      <c r="F9" s="0" t="s">
        <v>104</v>
      </c>
      <c r="G9" s="0" t="s">
        <v>96</v>
      </c>
    </row>
    <row r="10" customFormat="false" ht="15" hidden="false" customHeight="false" outlineLevel="0" collapsed="false">
      <c r="A10" s="0" t="n">
        <v>1009</v>
      </c>
      <c r="B10" s="0" t="s">
        <v>24</v>
      </c>
      <c r="C10" s="0" t="s">
        <v>90</v>
      </c>
      <c r="D10" s="0" t="s">
        <v>52</v>
      </c>
      <c r="E10" s="0" t="s">
        <v>94</v>
      </c>
      <c r="F10" s="0" t="s">
        <v>105</v>
      </c>
      <c r="G10" s="0" t="s">
        <v>96</v>
      </c>
    </row>
    <row r="11" customFormat="false" ht="15" hidden="false" customHeight="false" outlineLevel="0" collapsed="false">
      <c r="A11" s="0" t="n">
        <v>1010</v>
      </c>
      <c r="B11" s="0" t="s">
        <v>26</v>
      </c>
      <c r="C11" s="0" t="s">
        <v>100</v>
      </c>
      <c r="D11" s="0" t="s">
        <v>73</v>
      </c>
      <c r="E11" s="0" t="s">
        <v>91</v>
      </c>
      <c r="F11" s="0" t="s">
        <v>106</v>
      </c>
      <c r="G11" s="0" t="s">
        <v>93</v>
      </c>
    </row>
    <row r="12" customFormat="false" ht="15" hidden="false" customHeight="false" outlineLevel="0" collapsed="false">
      <c r="A12" s="0" t="n">
        <v>1011</v>
      </c>
      <c r="B12" s="0" t="s">
        <v>28</v>
      </c>
      <c r="C12" s="0" t="s">
        <v>90</v>
      </c>
      <c r="D12" s="0" t="s">
        <v>29</v>
      </c>
      <c r="E12" s="0" t="s">
        <v>94</v>
      </c>
      <c r="F12" s="0" t="s">
        <v>107</v>
      </c>
      <c r="G12" s="0" t="s">
        <v>96</v>
      </c>
    </row>
    <row r="13" customFormat="false" ht="15" hidden="false" customHeight="false" outlineLevel="0" collapsed="false">
      <c r="A13" s="0" t="n">
        <v>1012</v>
      </c>
      <c r="B13" s="0" t="s">
        <v>30</v>
      </c>
      <c r="C13" s="0" t="s">
        <v>100</v>
      </c>
      <c r="D13" s="0" t="s">
        <v>45</v>
      </c>
      <c r="E13" s="0" t="s">
        <v>101</v>
      </c>
      <c r="F13" s="0" t="s">
        <v>108</v>
      </c>
      <c r="G13" s="0" t="s">
        <v>96</v>
      </c>
    </row>
    <row r="14" customFormat="false" ht="15" hidden="false" customHeight="false" outlineLevel="0" collapsed="false">
      <c r="A14" s="0" t="n">
        <v>1013</v>
      </c>
      <c r="B14" s="0" t="s">
        <v>32</v>
      </c>
      <c r="C14" s="0" t="s">
        <v>90</v>
      </c>
      <c r="D14" s="0" t="s">
        <v>77</v>
      </c>
      <c r="E14" s="0" t="s">
        <v>91</v>
      </c>
      <c r="F14" s="0" t="s">
        <v>109</v>
      </c>
      <c r="G14" s="0" t="s">
        <v>93</v>
      </c>
    </row>
    <row r="15" customFormat="false" ht="15" hidden="false" customHeight="false" outlineLevel="0" collapsed="false">
      <c r="A15" s="0" t="n">
        <v>1014</v>
      </c>
      <c r="B15" s="0" t="s">
        <v>34</v>
      </c>
      <c r="C15" s="0" t="s">
        <v>100</v>
      </c>
      <c r="D15" s="0" t="s">
        <v>35</v>
      </c>
      <c r="E15" s="0" t="s">
        <v>94</v>
      </c>
      <c r="F15" s="0" t="s">
        <v>110</v>
      </c>
      <c r="G15" s="0" t="s">
        <v>96</v>
      </c>
    </row>
    <row r="16" customFormat="false" ht="15" hidden="false" customHeight="false" outlineLevel="0" collapsed="false">
      <c r="A16" s="0" t="n">
        <v>1015</v>
      </c>
      <c r="B16" s="0" t="s">
        <v>36</v>
      </c>
      <c r="C16" s="0" t="s">
        <v>90</v>
      </c>
      <c r="D16" s="0" t="s">
        <v>69</v>
      </c>
      <c r="E16" s="0" t="s">
        <v>91</v>
      </c>
      <c r="F16" s="0" t="s">
        <v>111</v>
      </c>
      <c r="G16" s="0" t="s">
        <v>93</v>
      </c>
    </row>
    <row r="17" customFormat="false" ht="15" hidden="false" customHeight="false" outlineLevel="0" collapsed="false">
      <c r="A17" s="0" t="n">
        <v>1016</v>
      </c>
      <c r="B17" s="0" t="s">
        <v>38</v>
      </c>
      <c r="C17" s="0" t="s">
        <v>100</v>
      </c>
      <c r="D17" s="0" t="s">
        <v>60</v>
      </c>
      <c r="E17" s="0" t="s">
        <v>94</v>
      </c>
      <c r="F17" s="0" t="s">
        <v>112</v>
      </c>
      <c r="G17" s="0" t="s">
        <v>96</v>
      </c>
    </row>
    <row r="18" customFormat="false" ht="15" hidden="false" customHeight="false" outlineLevel="0" collapsed="false">
      <c r="A18" s="0" t="n">
        <v>1017</v>
      </c>
      <c r="B18" s="0" t="s">
        <v>40</v>
      </c>
      <c r="C18" s="0" t="s">
        <v>90</v>
      </c>
      <c r="D18" s="0" t="s">
        <v>52</v>
      </c>
      <c r="E18" s="0" t="s">
        <v>101</v>
      </c>
      <c r="F18" s="0" t="s">
        <v>113</v>
      </c>
      <c r="G18" s="0" t="s">
        <v>96</v>
      </c>
    </row>
    <row r="19" customFormat="false" ht="15" hidden="false" customHeight="false" outlineLevel="0" collapsed="false">
      <c r="A19" s="0" t="n">
        <v>1018</v>
      </c>
      <c r="B19" s="0" t="s">
        <v>42</v>
      </c>
      <c r="C19" s="0" t="s">
        <v>100</v>
      </c>
      <c r="D19" s="0" t="s">
        <v>73</v>
      </c>
      <c r="E19" s="0" t="s">
        <v>91</v>
      </c>
      <c r="F19" s="0" t="s">
        <v>114</v>
      </c>
      <c r="G19" s="0" t="s">
        <v>93</v>
      </c>
    </row>
    <row r="20" customFormat="false" ht="15" hidden="false" customHeight="false" outlineLevel="0" collapsed="false">
      <c r="A20" s="0" t="n">
        <v>1019</v>
      </c>
      <c r="B20" s="0" t="s">
        <v>44</v>
      </c>
      <c r="C20" s="0" t="s">
        <v>90</v>
      </c>
      <c r="D20" s="0" t="s">
        <v>45</v>
      </c>
      <c r="E20" s="0" t="s">
        <v>94</v>
      </c>
      <c r="F20" s="0" t="s">
        <v>98</v>
      </c>
      <c r="G20" s="0" t="s">
        <v>96</v>
      </c>
    </row>
    <row r="21" customFormat="false" ht="15" hidden="false" customHeight="false" outlineLevel="0" collapsed="false">
      <c r="A21" s="0" t="n">
        <v>1020</v>
      </c>
      <c r="B21" s="0" t="s">
        <v>46</v>
      </c>
      <c r="C21" s="0" t="s">
        <v>100</v>
      </c>
      <c r="D21" s="0" t="s">
        <v>65</v>
      </c>
      <c r="E21" s="0" t="s">
        <v>91</v>
      </c>
      <c r="F21" s="0" t="s">
        <v>115</v>
      </c>
      <c r="G21" s="0" t="s">
        <v>93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116</v>
      </c>
      <c r="E1" s="1" t="s">
        <v>51</v>
      </c>
      <c r="F1" s="1" t="s">
        <v>117</v>
      </c>
      <c r="G1" s="1" t="s">
        <v>86</v>
      </c>
      <c r="H1" s="1" t="s">
        <v>118</v>
      </c>
    </row>
    <row r="2" customFormat="false" ht="15" hidden="false" customHeight="false" outlineLevel="0" collapsed="false">
      <c r="A2" s="0" t="n">
        <v>1001</v>
      </c>
      <c r="B2" s="0" t="s">
        <v>8</v>
      </c>
      <c r="C2" s="0" t="s">
        <v>9</v>
      </c>
      <c r="D2" s="0" t="s">
        <v>54</v>
      </c>
      <c r="E2" s="0" t="s">
        <v>55</v>
      </c>
      <c r="F2" s="0" t="s">
        <v>119</v>
      </c>
      <c r="G2" s="0" t="s">
        <v>90</v>
      </c>
      <c r="H2" s="0" t="s">
        <v>54</v>
      </c>
    </row>
    <row r="3" customFormat="false" ht="15" hidden="false" customHeight="false" outlineLevel="0" collapsed="false">
      <c r="A3" s="0" t="n">
        <v>1002</v>
      </c>
      <c r="B3" s="0" t="s">
        <v>10</v>
      </c>
      <c r="C3" s="0" t="s">
        <v>11</v>
      </c>
      <c r="D3" s="0" t="s">
        <v>58</v>
      </c>
      <c r="E3" s="0" t="s">
        <v>55</v>
      </c>
      <c r="F3" s="0" t="s">
        <v>119</v>
      </c>
      <c r="G3" s="0" t="s">
        <v>90</v>
      </c>
      <c r="H3" s="0" t="s">
        <v>58</v>
      </c>
    </row>
    <row r="4" customFormat="false" ht="15" hidden="false" customHeight="false" outlineLevel="0" collapsed="false">
      <c r="A4" s="0" t="n">
        <v>1003</v>
      </c>
      <c r="B4" s="0" t="s">
        <v>12</v>
      </c>
      <c r="C4" s="0" t="s">
        <v>13</v>
      </c>
      <c r="D4" s="0" t="s">
        <v>59</v>
      </c>
      <c r="E4" s="0" t="s">
        <v>55</v>
      </c>
      <c r="F4" s="0" t="s">
        <v>119</v>
      </c>
      <c r="G4" s="0" t="s">
        <v>90</v>
      </c>
      <c r="H4" s="0" t="s">
        <v>59</v>
      </c>
    </row>
    <row r="5" customFormat="false" ht="15" hidden="false" customHeight="false" outlineLevel="0" collapsed="false">
      <c r="A5" s="0" t="n">
        <v>1004</v>
      </c>
      <c r="B5" s="0" t="s">
        <v>14</v>
      </c>
      <c r="C5" s="0" t="s">
        <v>15</v>
      </c>
      <c r="D5" s="0" t="s">
        <v>62</v>
      </c>
      <c r="E5" s="0" t="s">
        <v>55</v>
      </c>
      <c r="F5" s="0" t="s">
        <v>119</v>
      </c>
      <c r="G5" s="0" t="s">
        <v>90</v>
      </c>
      <c r="H5" s="0" t="s">
        <v>62</v>
      </c>
    </row>
    <row r="6" customFormat="false" ht="15" hidden="false" customHeight="false" outlineLevel="0" collapsed="false">
      <c r="A6" s="0" t="n">
        <v>1005</v>
      </c>
      <c r="B6" s="0" t="s">
        <v>16</v>
      </c>
      <c r="C6" s="0" t="s">
        <v>17</v>
      </c>
      <c r="D6" s="0" t="s">
        <v>64</v>
      </c>
      <c r="E6" s="0" t="s">
        <v>55</v>
      </c>
      <c r="F6" s="0" t="s">
        <v>119</v>
      </c>
      <c r="G6" s="0" t="s">
        <v>90</v>
      </c>
      <c r="H6" s="0" t="s">
        <v>64</v>
      </c>
    </row>
    <row r="7" customFormat="false" ht="15" hidden="false" customHeight="false" outlineLevel="0" collapsed="false">
      <c r="A7" s="0" t="n">
        <v>1006</v>
      </c>
      <c r="B7" s="0" t="s">
        <v>18</v>
      </c>
      <c r="C7" s="0" t="s">
        <v>19</v>
      </c>
      <c r="D7" s="0" t="s">
        <v>67</v>
      </c>
      <c r="E7" s="0" t="s">
        <v>68</v>
      </c>
      <c r="F7" s="0" t="s">
        <v>19</v>
      </c>
      <c r="G7" s="0" t="s">
        <v>90</v>
      </c>
      <c r="H7" s="0" t="s">
        <v>67</v>
      </c>
    </row>
    <row r="8" customFormat="false" ht="15" hidden="false" customHeight="false" outlineLevel="0" collapsed="false">
      <c r="A8" s="0" t="n">
        <v>1007</v>
      </c>
      <c r="B8" s="0" t="s">
        <v>20</v>
      </c>
      <c r="C8" s="0" t="s">
        <v>21</v>
      </c>
      <c r="D8" s="0" t="s">
        <v>70</v>
      </c>
      <c r="E8" s="0" t="s">
        <v>55</v>
      </c>
      <c r="F8" s="0" t="s">
        <v>119</v>
      </c>
      <c r="G8" s="0" t="s">
        <v>90</v>
      </c>
      <c r="H8" s="0" t="s">
        <v>70</v>
      </c>
    </row>
    <row r="9" customFormat="false" ht="15" hidden="false" customHeight="false" outlineLevel="0" collapsed="false">
      <c r="A9" s="0" t="n">
        <v>1008</v>
      </c>
      <c r="B9" s="0" t="s">
        <v>22</v>
      </c>
      <c r="C9" s="0" t="s">
        <v>23</v>
      </c>
      <c r="D9" s="0" t="s">
        <v>71</v>
      </c>
      <c r="E9" s="0" t="s">
        <v>55</v>
      </c>
      <c r="F9" s="0" t="s">
        <v>120</v>
      </c>
      <c r="G9" s="0" t="s">
        <v>90</v>
      </c>
      <c r="H9" s="0" t="s">
        <v>71</v>
      </c>
    </row>
    <row r="10" customFormat="false" ht="15" hidden="false" customHeight="false" outlineLevel="0" collapsed="false">
      <c r="A10" s="0" t="n">
        <v>1009</v>
      </c>
      <c r="B10" s="0" t="s">
        <v>24</v>
      </c>
      <c r="C10" s="0" t="s">
        <v>25</v>
      </c>
      <c r="D10" s="0" t="s">
        <v>72</v>
      </c>
      <c r="E10" s="0" t="s">
        <v>68</v>
      </c>
      <c r="F10" s="0" t="s">
        <v>19</v>
      </c>
      <c r="G10" s="0" t="s">
        <v>90</v>
      </c>
      <c r="H10" s="0" t="s">
        <v>72</v>
      </c>
    </row>
    <row r="11" customFormat="false" ht="15" hidden="false" customHeight="false" outlineLevel="0" collapsed="false">
      <c r="A11" s="0" t="n">
        <v>1010</v>
      </c>
      <c r="B11" s="0" t="s">
        <v>26</v>
      </c>
      <c r="C11" s="0" t="s">
        <v>27</v>
      </c>
      <c r="D11" s="0" t="s">
        <v>74</v>
      </c>
      <c r="E11" s="0" t="s">
        <v>55</v>
      </c>
      <c r="F11" s="0" t="s">
        <v>119</v>
      </c>
      <c r="G11" s="0" t="s">
        <v>90</v>
      </c>
      <c r="H11" s="0" t="s">
        <v>74</v>
      </c>
    </row>
    <row r="12" customFormat="false" ht="15" hidden="false" customHeight="false" outlineLevel="0" collapsed="false">
      <c r="A12" s="0" t="n">
        <v>1011</v>
      </c>
      <c r="B12" s="0" t="s">
        <v>28</v>
      </c>
      <c r="C12" s="0" t="s">
        <v>29</v>
      </c>
      <c r="D12" s="0" t="s">
        <v>75</v>
      </c>
      <c r="E12" s="0" t="s">
        <v>55</v>
      </c>
      <c r="F12" s="0" t="s">
        <v>119</v>
      </c>
      <c r="G12" s="0" t="s">
        <v>90</v>
      </c>
      <c r="H12" s="0" t="s">
        <v>75</v>
      </c>
    </row>
    <row r="13" customFormat="false" ht="15" hidden="false" customHeight="false" outlineLevel="0" collapsed="false">
      <c r="A13" s="0" t="n">
        <v>1012</v>
      </c>
      <c r="B13" s="0" t="s">
        <v>30</v>
      </c>
      <c r="C13" s="0" t="s">
        <v>31</v>
      </c>
      <c r="D13" s="0" t="s">
        <v>76</v>
      </c>
      <c r="E13" s="0" t="s">
        <v>55</v>
      </c>
      <c r="F13" s="0" t="s">
        <v>120</v>
      </c>
      <c r="G13" s="0" t="s">
        <v>90</v>
      </c>
      <c r="H13" s="0" t="s">
        <v>76</v>
      </c>
    </row>
    <row r="14" customFormat="false" ht="15" hidden="false" customHeight="false" outlineLevel="0" collapsed="false">
      <c r="A14" s="0" t="n">
        <v>1013</v>
      </c>
      <c r="B14" s="0" t="s">
        <v>32</v>
      </c>
      <c r="C14" s="0" t="s">
        <v>33</v>
      </c>
      <c r="D14" s="0" t="s">
        <v>78</v>
      </c>
      <c r="E14" s="0" t="s">
        <v>55</v>
      </c>
      <c r="F14" s="0" t="s">
        <v>119</v>
      </c>
      <c r="G14" s="0" t="s">
        <v>90</v>
      </c>
      <c r="H14" s="0" t="s">
        <v>78</v>
      </c>
    </row>
    <row r="15" customFormat="false" ht="15" hidden="false" customHeight="false" outlineLevel="0" collapsed="false">
      <c r="A15" s="0" t="n">
        <v>1014</v>
      </c>
      <c r="B15" s="0" t="s">
        <v>34</v>
      </c>
      <c r="C15" s="0" t="s">
        <v>35</v>
      </c>
      <c r="D15" s="0" t="s">
        <v>79</v>
      </c>
      <c r="E15" s="0" t="s">
        <v>55</v>
      </c>
      <c r="F15" s="0" t="s">
        <v>120</v>
      </c>
      <c r="G15" s="0" t="s">
        <v>90</v>
      </c>
      <c r="H15" s="0" t="s">
        <v>79</v>
      </c>
    </row>
    <row r="16" customFormat="false" ht="15" hidden="false" customHeight="false" outlineLevel="0" collapsed="false">
      <c r="A16" s="0" t="n">
        <v>1015</v>
      </c>
      <c r="B16" s="0" t="s">
        <v>36</v>
      </c>
      <c r="C16" s="0" t="s">
        <v>37</v>
      </c>
      <c r="D16" s="0" t="s">
        <v>80</v>
      </c>
      <c r="E16" s="0" t="s">
        <v>55</v>
      </c>
      <c r="F16" s="0" t="s">
        <v>119</v>
      </c>
      <c r="G16" s="0" t="s">
        <v>90</v>
      </c>
      <c r="H16" s="0" t="s">
        <v>80</v>
      </c>
    </row>
    <row r="17" customFormat="false" ht="15" hidden="false" customHeight="false" outlineLevel="0" collapsed="false">
      <c r="A17" s="0" t="n">
        <v>1016</v>
      </c>
      <c r="B17" s="0" t="s">
        <v>38</v>
      </c>
      <c r="C17" s="0" t="s">
        <v>39</v>
      </c>
      <c r="D17" s="0" t="s">
        <v>81</v>
      </c>
      <c r="E17" s="0" t="s">
        <v>55</v>
      </c>
      <c r="F17" s="0" t="s">
        <v>120</v>
      </c>
      <c r="G17" s="0" t="s">
        <v>90</v>
      </c>
      <c r="H17" s="0" t="s">
        <v>81</v>
      </c>
    </row>
    <row r="18" customFormat="false" ht="15" hidden="false" customHeight="false" outlineLevel="0" collapsed="false">
      <c r="A18" s="0" t="n">
        <v>1017</v>
      </c>
      <c r="B18" s="0" t="s">
        <v>40</v>
      </c>
      <c r="C18" s="0" t="s">
        <v>41</v>
      </c>
      <c r="D18" s="0" t="s">
        <v>82</v>
      </c>
      <c r="E18" s="0" t="s">
        <v>68</v>
      </c>
      <c r="F18" s="0" t="s">
        <v>19</v>
      </c>
      <c r="G18" s="0" t="s">
        <v>90</v>
      </c>
      <c r="H18" s="0" t="s">
        <v>82</v>
      </c>
    </row>
    <row r="19" customFormat="false" ht="15" hidden="false" customHeight="false" outlineLevel="0" collapsed="false">
      <c r="A19" s="0" t="n">
        <v>1018</v>
      </c>
      <c r="B19" s="0" t="s">
        <v>42</v>
      </c>
      <c r="C19" s="0" t="s">
        <v>43</v>
      </c>
      <c r="D19" s="0" t="s">
        <v>83</v>
      </c>
      <c r="E19" s="0" t="s">
        <v>55</v>
      </c>
      <c r="F19" s="0" t="s">
        <v>119</v>
      </c>
      <c r="G19" s="0" t="s">
        <v>90</v>
      </c>
      <c r="H19" s="0" t="s">
        <v>83</v>
      </c>
    </row>
    <row r="20" customFormat="false" ht="15" hidden="false" customHeight="false" outlineLevel="0" collapsed="false">
      <c r="A20" s="0" t="n">
        <v>1019</v>
      </c>
      <c r="B20" s="0" t="s">
        <v>44</v>
      </c>
      <c r="C20" s="0" t="s">
        <v>45</v>
      </c>
      <c r="D20" s="0" t="s">
        <v>84</v>
      </c>
      <c r="E20" s="0" t="s">
        <v>55</v>
      </c>
      <c r="F20" s="0" t="s">
        <v>119</v>
      </c>
      <c r="G20" s="0" t="s">
        <v>90</v>
      </c>
      <c r="H20" s="0" t="s">
        <v>84</v>
      </c>
    </row>
    <row r="21" customFormat="false" ht="15" hidden="false" customHeight="false" outlineLevel="0" collapsed="false">
      <c r="A21" s="0" t="n">
        <v>1020</v>
      </c>
      <c r="B21" s="0" t="s">
        <v>46</v>
      </c>
      <c r="C21" s="0" t="s">
        <v>47</v>
      </c>
      <c r="D21" s="0" t="s">
        <v>85</v>
      </c>
      <c r="E21" s="0" t="s">
        <v>55</v>
      </c>
      <c r="F21" s="0" t="s">
        <v>119</v>
      </c>
      <c r="G21" s="0" t="s">
        <v>90</v>
      </c>
      <c r="H21" s="0" t="s">
        <v>85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1" min="10" style="0" width="16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6" min="15" style="0" width="12"/>
    <col collapsed="false" customWidth="true" hidden="false" outlineLevel="0" max="17" min="17" style="0" width="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48</v>
      </c>
      <c r="D1" s="2" t="s">
        <v>2</v>
      </c>
      <c r="E1" s="2" t="s">
        <v>49</v>
      </c>
      <c r="F1" s="2" t="s">
        <v>51</v>
      </c>
      <c r="G1" s="2" t="s">
        <v>50</v>
      </c>
      <c r="H1" s="2" t="s">
        <v>117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</row>
    <row r="2" customFormat="false" ht="15" hidden="false" customHeight="false" outlineLevel="0" collapsed="false">
      <c r="A2" s="3" t="n">
        <f aca="false">Personal!A2</f>
        <v>1001</v>
      </c>
      <c r="B2" s="3" t="str">
        <f aca="false">Personal!B2</f>
        <v>Ana Gómez</v>
      </c>
      <c r="C2" s="3" t="str">
        <f aca="false">Personal!C2</f>
        <v>Administración</v>
      </c>
      <c r="D2" s="3" t="str">
        <f aca="false">Personal!D2</f>
        <v>Administradora</v>
      </c>
      <c r="E2" s="3" t="str">
        <f aca="false">Personal!E2</f>
        <v>Bogotá</v>
      </c>
      <c r="F2" s="3" t="str">
        <f aca="false">Personal!G2</f>
        <v>Indefinido</v>
      </c>
      <c r="G2" s="3" t="str">
        <f aca="false">Personal!F2</f>
        <v>2022-02-14</v>
      </c>
      <c r="H2" s="3" t="str">
        <f aca="false">INDEX(Contratacion!$F$2:$F$21,MATCH($A2,Contratacion!$A$2:$A$21,0))</f>
        <v>Profesional</v>
      </c>
      <c r="I2" s="3" t="str">
        <f aca="false">INDEX('R.H.'!$C$2:$C$21,MATCH($A2,'R.H.'!$A$2:$A$21,0))</f>
        <v>Activa</v>
      </c>
      <c r="J2" s="3" t="str">
        <f aca="false">INDEX('R.H.'!$E$2:$E$21,MATCH($A2,'R.H.'!$A$2:$A$21,0))</f>
        <v>Alto</v>
      </c>
      <c r="K2" s="3" t="str">
        <f aca="false">INDEX('R.H.'!$F$2:$F$21,MATCH($A2,'R.H.'!$A$2:$A$21,0))</f>
        <v>2026-08-15</v>
      </c>
      <c r="L2" s="3" t="str">
        <f aca="false">INDEX('R.H.'!$G$2:$G$21,MATCH($A2,'R.H.'!$A$2:$A$21,0))</f>
        <v>Excelente</v>
      </c>
      <c r="M2" s="4" t="n">
        <f aca="false">INDEX(Nomina!$D$2:$D$21,MATCH($A2,Nomina!$A$2:$A$21,0))</f>
        <v>2800000</v>
      </c>
      <c r="N2" s="4" t="n">
        <f aca="false">INDEX(Nomina!$E$2:$E$21,MATCH($A2,Nomina!$A$2:$A$21,0))</f>
        <v>200000</v>
      </c>
      <c r="O2" s="4" t="n">
        <f aca="false">INDEX(Nomina!$F$2:$F$21,MATCH($A2,Nomina!$A$2:$A$21,0))</f>
        <v>150000</v>
      </c>
      <c r="P2" s="4" t="n">
        <f aca="false">INDEX(Nomina!$G$2:$G$21,MATCH($A2,Nomina!$A$2:$A$21,0))</f>
        <v>0</v>
      </c>
      <c r="Q2" s="4" t="n">
        <f aca="false">INDEX(Nomina!$H$2:$H$21,MATCH($A2,Nomina!$A$2:$A$21,0))</f>
        <v>2850000</v>
      </c>
    </row>
    <row r="3" customFormat="false" ht="15" hidden="false" customHeight="false" outlineLevel="0" collapsed="false">
      <c r="A3" s="3" t="n">
        <f aca="false">Personal!A3</f>
        <v>1002</v>
      </c>
      <c r="B3" s="3" t="str">
        <f aca="false">Personal!B3</f>
        <v>Carlos Pérez</v>
      </c>
      <c r="C3" s="3" t="str">
        <f aca="false">Personal!C3</f>
        <v>Finanzas</v>
      </c>
      <c r="D3" s="3" t="str">
        <f aca="false">Personal!D3</f>
        <v>Analista</v>
      </c>
      <c r="E3" s="3" t="str">
        <f aca="false">Personal!E3</f>
        <v>Medellín</v>
      </c>
      <c r="F3" s="3" t="str">
        <f aca="false">Personal!G3</f>
        <v>Indefinido</v>
      </c>
      <c r="G3" s="3" t="str">
        <f aca="false">Personal!F3</f>
        <v>2021-08-09</v>
      </c>
      <c r="H3" s="3" t="str">
        <f aca="false">INDEX(Contratacion!$F$2:$F$21,MATCH($A3,Contratacion!$A$2:$A$21,0))</f>
        <v>Profesional</v>
      </c>
      <c r="I3" s="3" t="str">
        <f aca="false">INDEX('R.H.'!$C$2:$C$21,MATCH($A3,'R.H.'!$A$2:$A$21,0))</f>
        <v>Activa</v>
      </c>
      <c r="J3" s="3" t="str">
        <f aca="false">INDEX('R.H.'!$E$2:$E$21,MATCH($A3,'R.H.'!$A$2:$A$21,0))</f>
        <v>Medio</v>
      </c>
      <c r="K3" s="3" t="str">
        <f aca="false">INDEX('R.H.'!$F$2:$F$21,MATCH($A3,'R.H.'!$A$2:$A$21,0))</f>
        <v>2026-08-20</v>
      </c>
      <c r="L3" s="3" t="str">
        <f aca="false">INDEX('R.H.'!$G$2:$G$21,MATCH($A3,'R.H.'!$A$2:$A$21,0))</f>
        <v>Bueno</v>
      </c>
      <c r="M3" s="4" t="n">
        <f aca="false">INDEX(Nomina!$D$2:$D$21,MATCH($A3,Nomina!$A$2:$A$21,0))</f>
        <v>3200000</v>
      </c>
      <c r="N3" s="4" t="n">
        <f aca="false">INDEX(Nomina!$E$2:$E$21,MATCH($A3,Nomina!$A$2:$A$21,0))</f>
        <v>250000</v>
      </c>
      <c r="O3" s="4" t="n">
        <f aca="false">INDEX(Nomina!$F$2:$F$21,MATCH($A3,Nomina!$A$2:$A$21,0))</f>
        <v>180000</v>
      </c>
      <c r="P3" s="4" t="n">
        <f aca="false">INDEX(Nomina!$G$2:$G$21,MATCH($A3,Nomina!$A$2:$A$21,0))</f>
        <v>0</v>
      </c>
      <c r="Q3" s="4" t="n">
        <f aca="false">INDEX(Nomina!$H$2:$H$21,MATCH($A3,Nomina!$A$2:$A$21,0))</f>
        <v>3270000</v>
      </c>
    </row>
    <row r="4" customFormat="false" ht="15" hidden="false" customHeight="false" outlineLevel="0" collapsed="false">
      <c r="A4" s="3" t="n">
        <f aca="false">Personal!A4</f>
        <v>1003</v>
      </c>
      <c r="B4" s="3" t="str">
        <f aca="false">Personal!B4</f>
        <v>Laura Rodríguez</v>
      </c>
      <c r="C4" s="3" t="str">
        <f aca="false">Personal!C4</f>
        <v>Finanzas</v>
      </c>
      <c r="D4" s="3" t="str">
        <f aca="false">Personal!D4</f>
        <v>Contadora</v>
      </c>
      <c r="E4" s="3" t="str">
        <f aca="false">Personal!E4</f>
        <v>Bogotá</v>
      </c>
      <c r="F4" s="3" t="str">
        <f aca="false">Personal!G4</f>
        <v>Indefinido</v>
      </c>
      <c r="G4" s="3" t="str">
        <f aca="false">Personal!F4</f>
        <v>2020-05-18</v>
      </c>
      <c r="H4" s="3" t="str">
        <f aca="false">INDEX(Contratacion!$F$2:$F$21,MATCH($A4,Contratacion!$A$2:$A$21,0))</f>
        <v>Profesional</v>
      </c>
      <c r="I4" s="3" t="str">
        <f aca="false">INDEX('R.H.'!$C$2:$C$21,MATCH($A4,'R.H.'!$A$2:$A$21,0))</f>
        <v>Activa</v>
      </c>
      <c r="J4" s="3" t="str">
        <f aca="false">INDEX('R.H.'!$E$2:$E$21,MATCH($A4,'R.H.'!$A$2:$A$21,0))</f>
        <v>Alto</v>
      </c>
      <c r="K4" s="3" t="str">
        <f aca="false">INDEX('R.H.'!$F$2:$F$21,MATCH($A4,'R.H.'!$A$2:$A$21,0))</f>
        <v>2026-08-12</v>
      </c>
      <c r="L4" s="3" t="str">
        <f aca="false">INDEX('R.H.'!$G$2:$G$21,MATCH($A4,'R.H.'!$A$2:$A$21,0))</f>
        <v>Excelente</v>
      </c>
      <c r="M4" s="4" t="n">
        <f aca="false">INDEX(Nomina!$D$2:$D$21,MATCH($A4,Nomina!$A$2:$A$21,0))</f>
        <v>3500000</v>
      </c>
      <c r="N4" s="4" t="n">
        <f aca="false">INDEX(Nomina!$E$2:$E$21,MATCH($A4,Nomina!$A$2:$A$21,0))</f>
        <v>300000</v>
      </c>
      <c r="O4" s="4" t="n">
        <f aca="false">INDEX(Nomina!$F$2:$F$21,MATCH($A4,Nomina!$A$2:$A$21,0))</f>
        <v>200000</v>
      </c>
      <c r="P4" s="4" t="n">
        <f aca="false">INDEX(Nomina!$G$2:$G$21,MATCH($A4,Nomina!$A$2:$A$21,0))</f>
        <v>100000</v>
      </c>
      <c r="Q4" s="4" t="n">
        <f aca="false">INDEX(Nomina!$H$2:$H$21,MATCH($A4,Nomina!$A$2:$A$21,0))</f>
        <v>3500000</v>
      </c>
    </row>
    <row r="5" customFormat="false" ht="15" hidden="false" customHeight="false" outlineLevel="0" collapsed="false">
      <c r="A5" s="3" t="n">
        <f aca="false">Personal!A5</f>
        <v>1004</v>
      </c>
      <c r="B5" s="3" t="str">
        <f aca="false">Personal!B5</f>
        <v>Juan Martínez</v>
      </c>
      <c r="C5" s="3" t="str">
        <f aca="false">Personal!C5</f>
        <v>Tecnología</v>
      </c>
      <c r="D5" s="3" t="str">
        <f aca="false">Personal!D5</f>
        <v>Desarrollador</v>
      </c>
      <c r="E5" s="3" t="str">
        <f aca="false">Personal!E5</f>
        <v>Cali</v>
      </c>
      <c r="F5" s="3" t="str">
        <f aca="false">Personal!G5</f>
        <v>Indefinido</v>
      </c>
      <c r="G5" s="3" t="str">
        <f aca="false">Personal!F5</f>
        <v>2023-01-23</v>
      </c>
      <c r="H5" s="3" t="str">
        <f aca="false">INDEX(Contratacion!$F$2:$F$21,MATCH($A5,Contratacion!$A$2:$A$21,0))</f>
        <v>Profesional</v>
      </c>
      <c r="I5" s="3" t="str">
        <f aca="false">INDEX('R.H.'!$C$2:$C$21,MATCH($A5,'R.H.'!$A$2:$A$21,0))</f>
        <v>Activa</v>
      </c>
      <c r="J5" s="3" t="str">
        <f aca="false">INDEX('R.H.'!$E$2:$E$21,MATCH($A5,'R.H.'!$A$2:$A$21,0))</f>
        <v>Medio</v>
      </c>
      <c r="K5" s="3" t="str">
        <f aca="false">INDEX('R.H.'!$F$2:$F$21,MATCH($A5,'R.H.'!$A$2:$A$21,0))</f>
        <v>2026-08-18</v>
      </c>
      <c r="L5" s="3" t="str">
        <f aca="false">INDEX('R.H.'!$G$2:$G$21,MATCH($A5,'R.H.'!$A$2:$A$21,0))</f>
        <v>Bueno</v>
      </c>
      <c r="M5" s="4" t="n">
        <f aca="false">INDEX(Nomina!$D$2:$D$21,MATCH($A5,Nomina!$A$2:$A$21,0))</f>
        <v>4200000</v>
      </c>
      <c r="N5" s="4" t="n">
        <f aca="false">INDEX(Nomina!$E$2:$E$21,MATCH($A5,Nomina!$A$2:$A$21,0))</f>
        <v>350000</v>
      </c>
      <c r="O5" s="4" t="n">
        <f aca="false">INDEX(Nomina!$F$2:$F$21,MATCH($A5,Nomina!$A$2:$A$21,0))</f>
        <v>250000</v>
      </c>
      <c r="P5" s="4" t="n">
        <f aca="false">INDEX(Nomina!$G$2:$G$21,MATCH($A5,Nomina!$A$2:$A$21,0))</f>
        <v>0</v>
      </c>
      <c r="Q5" s="4" t="n">
        <f aca="false">INDEX(Nomina!$H$2:$H$21,MATCH($A5,Nomina!$A$2:$A$21,0))</f>
        <v>4300000</v>
      </c>
    </row>
    <row r="6" customFormat="false" ht="15" hidden="false" customHeight="false" outlineLevel="0" collapsed="false">
      <c r="A6" s="3" t="n">
        <f aca="false">Personal!A6</f>
        <v>1005</v>
      </c>
      <c r="B6" s="3" t="str">
        <f aca="false">Personal!B6</f>
        <v>María López</v>
      </c>
      <c r="C6" s="3" t="str">
        <f aca="false">Personal!C6</f>
        <v>Diseño</v>
      </c>
      <c r="D6" s="3" t="str">
        <f aca="false">Personal!D6</f>
        <v>Diseñadora</v>
      </c>
      <c r="E6" s="3" t="str">
        <f aca="false">Personal!E6</f>
        <v>Bogotá</v>
      </c>
      <c r="F6" s="3" t="str">
        <f aca="false">Personal!G6</f>
        <v>Indefinido</v>
      </c>
      <c r="G6" s="3" t="str">
        <f aca="false">Personal!F6</f>
        <v>2022-07-11</v>
      </c>
      <c r="H6" s="3" t="str">
        <f aca="false">INDEX(Contratacion!$F$2:$F$21,MATCH($A6,Contratacion!$A$2:$A$21,0))</f>
        <v>Profesional</v>
      </c>
      <c r="I6" s="3" t="str">
        <f aca="false">INDEX('R.H.'!$C$2:$C$21,MATCH($A6,'R.H.'!$A$2:$A$21,0))</f>
        <v>Activa</v>
      </c>
      <c r="J6" s="3" t="str">
        <f aca="false">INDEX('R.H.'!$E$2:$E$21,MATCH($A6,'R.H.'!$A$2:$A$21,0))</f>
        <v>Medio</v>
      </c>
      <c r="K6" s="3" t="str">
        <f aca="false">INDEX('R.H.'!$F$2:$F$21,MATCH($A6,'R.H.'!$A$2:$A$21,0))</f>
        <v>2026-08-21</v>
      </c>
      <c r="L6" s="3" t="str">
        <f aca="false">INDEX('R.H.'!$G$2:$G$21,MATCH($A6,'R.H.'!$A$2:$A$21,0))</f>
        <v>Bueno</v>
      </c>
      <c r="M6" s="4" t="n">
        <f aca="false">INDEX(Nomina!$D$2:$D$21,MATCH($A6,Nomina!$A$2:$A$21,0))</f>
        <v>3000000</v>
      </c>
      <c r="N6" s="4" t="n">
        <f aca="false">INDEX(Nomina!$E$2:$E$21,MATCH($A6,Nomina!$A$2:$A$21,0))</f>
        <v>220000</v>
      </c>
      <c r="O6" s="4" t="n">
        <f aca="false">INDEX(Nomina!$F$2:$F$21,MATCH($A6,Nomina!$A$2:$A$21,0))</f>
        <v>160000</v>
      </c>
      <c r="P6" s="4" t="n">
        <f aca="false">INDEX(Nomina!$G$2:$G$21,MATCH($A6,Nomina!$A$2:$A$21,0))</f>
        <v>0</v>
      </c>
      <c r="Q6" s="4" t="n">
        <f aca="false">INDEX(Nomina!$H$2:$H$21,MATCH($A6,Nomina!$A$2:$A$21,0))</f>
        <v>3060000</v>
      </c>
    </row>
    <row r="7" customFormat="false" ht="15" hidden="false" customHeight="false" outlineLevel="0" collapsed="false">
      <c r="A7" s="3" t="n">
        <f aca="false">Personal!A7</f>
        <v>1006</v>
      </c>
      <c r="B7" s="3" t="str">
        <f aca="false">Personal!B7</f>
        <v>Diego Torres</v>
      </c>
      <c r="C7" s="3" t="str">
        <f aca="false">Personal!C7</f>
        <v>Operaciones</v>
      </c>
      <c r="D7" s="3" t="str">
        <f aca="false">Personal!D7</f>
        <v>Técnico</v>
      </c>
      <c r="E7" s="3" t="str">
        <f aca="false">Personal!E7</f>
        <v>Barranquilla</v>
      </c>
      <c r="F7" s="3" t="str">
        <f aca="false">Personal!G7</f>
        <v>Término fijo</v>
      </c>
      <c r="G7" s="3" t="str">
        <f aca="false">Personal!F7</f>
        <v>2024-03-04</v>
      </c>
      <c r="H7" s="3" t="str">
        <f aca="false">INDEX(Contratacion!$F$2:$F$21,MATCH($A7,Contratacion!$A$2:$A$21,0))</f>
        <v>Técnico</v>
      </c>
      <c r="I7" s="3" t="str">
        <f aca="false">INDEX('R.H.'!$C$2:$C$21,MATCH($A7,'R.H.'!$A$2:$A$21,0))</f>
        <v>Activo</v>
      </c>
      <c r="J7" s="3" t="str">
        <f aca="false">INDEX('R.H.'!$E$2:$E$21,MATCH($A7,'R.H.'!$A$2:$A$21,0))</f>
        <v>Bajo</v>
      </c>
      <c r="K7" s="3" t="str">
        <f aca="false">INDEX('R.H.'!$F$2:$F$21,MATCH($A7,'R.H.'!$A$2:$A$21,0))</f>
        <v>2026-08-10</v>
      </c>
      <c r="L7" s="3" t="str">
        <f aca="false">INDEX('R.H.'!$G$2:$G$21,MATCH($A7,'R.H.'!$A$2:$A$21,0))</f>
        <v>Bueno</v>
      </c>
      <c r="M7" s="4" t="n">
        <f aca="false">INDEX(Nomina!$D$2:$D$21,MATCH($A7,Nomina!$A$2:$A$21,0))</f>
        <v>2600000</v>
      </c>
      <c r="N7" s="4" t="n">
        <f aca="false">INDEX(Nomina!$E$2:$E$21,MATCH($A7,Nomina!$A$2:$A$21,0))</f>
        <v>180000</v>
      </c>
      <c r="O7" s="4" t="n">
        <f aca="false">INDEX(Nomina!$F$2:$F$21,MATCH($A7,Nomina!$A$2:$A$21,0))</f>
        <v>120000</v>
      </c>
      <c r="P7" s="4" t="n">
        <f aca="false">INDEX(Nomina!$G$2:$G$21,MATCH($A7,Nomina!$A$2:$A$21,0))</f>
        <v>50000</v>
      </c>
      <c r="Q7" s="4" t="n">
        <f aca="false">INDEX(Nomina!$H$2:$H$21,MATCH($A7,Nomina!$A$2:$A$21,0))</f>
        <v>2610000</v>
      </c>
    </row>
    <row r="8" customFormat="false" ht="15" hidden="false" customHeight="false" outlineLevel="0" collapsed="false">
      <c r="A8" s="3" t="n">
        <f aca="false">Personal!A8</f>
        <v>1007</v>
      </c>
      <c r="B8" s="3" t="str">
        <f aca="false">Personal!B8</f>
        <v>Sofía Ramírez</v>
      </c>
      <c r="C8" s="3" t="str">
        <f aca="false">Personal!C8</f>
        <v>R.H.</v>
      </c>
      <c r="D8" s="3" t="str">
        <f aca="false">Personal!D8</f>
        <v>Recursos Humanos</v>
      </c>
      <c r="E8" s="3" t="str">
        <f aca="false">Personal!E8</f>
        <v>Bogotá</v>
      </c>
      <c r="F8" s="3" t="str">
        <f aca="false">Personal!G8</f>
        <v>Indefinido</v>
      </c>
      <c r="G8" s="3" t="str">
        <f aca="false">Personal!F8</f>
        <v>2021-11-15</v>
      </c>
      <c r="H8" s="3" t="str">
        <f aca="false">INDEX(Contratacion!$F$2:$F$21,MATCH($A8,Contratacion!$A$2:$A$21,0))</f>
        <v>Profesional</v>
      </c>
      <c r="I8" s="3" t="str">
        <f aca="false">INDEX('R.H.'!$C$2:$C$21,MATCH($A8,'R.H.'!$A$2:$A$21,0))</f>
        <v>Activa</v>
      </c>
      <c r="J8" s="3" t="str">
        <f aca="false">INDEX('R.H.'!$E$2:$E$21,MATCH($A8,'R.H.'!$A$2:$A$21,0))</f>
        <v>Alto</v>
      </c>
      <c r="K8" s="3" t="str">
        <f aca="false">INDEX('R.H.'!$F$2:$F$21,MATCH($A8,'R.H.'!$A$2:$A$21,0))</f>
        <v>2026-08-22</v>
      </c>
      <c r="L8" s="3" t="str">
        <f aca="false">INDEX('R.H.'!$G$2:$G$21,MATCH($A8,'R.H.'!$A$2:$A$21,0))</f>
        <v>Excelente</v>
      </c>
      <c r="M8" s="4" t="n">
        <f aca="false">INDEX(Nomina!$D$2:$D$21,MATCH($A8,Nomina!$A$2:$A$21,0))</f>
        <v>3300000</v>
      </c>
      <c r="N8" s="4" t="n">
        <f aca="false">INDEX(Nomina!$E$2:$E$21,MATCH($A8,Nomina!$A$2:$A$21,0))</f>
        <v>240000</v>
      </c>
      <c r="O8" s="4" t="n">
        <f aca="false">INDEX(Nomina!$F$2:$F$21,MATCH($A8,Nomina!$A$2:$A$21,0))</f>
        <v>170000</v>
      </c>
      <c r="P8" s="4" t="n">
        <f aca="false">INDEX(Nomina!$G$2:$G$21,MATCH($A8,Nomina!$A$2:$A$21,0))</f>
        <v>0</v>
      </c>
      <c r="Q8" s="4" t="n">
        <f aca="false">INDEX(Nomina!$H$2:$H$21,MATCH($A8,Nomina!$A$2:$A$21,0))</f>
        <v>3370000</v>
      </c>
    </row>
    <row r="9" customFormat="false" ht="15" hidden="false" customHeight="false" outlineLevel="0" collapsed="false">
      <c r="A9" s="3" t="n">
        <f aca="false">Personal!A9</f>
        <v>1008</v>
      </c>
      <c r="B9" s="3" t="str">
        <f aca="false">Personal!B9</f>
        <v>Andrés Castro</v>
      </c>
      <c r="C9" s="3" t="str">
        <f aca="false">Personal!C9</f>
        <v>Operaciones</v>
      </c>
      <c r="D9" s="3" t="str">
        <f aca="false">Personal!D9</f>
        <v>Supervisor</v>
      </c>
      <c r="E9" s="3" t="str">
        <f aca="false">Personal!E9</f>
        <v>Medellín</v>
      </c>
      <c r="F9" s="3" t="str">
        <f aca="false">Personal!G9</f>
        <v>Indefinido</v>
      </c>
      <c r="G9" s="3" t="str">
        <f aca="false">Personal!F9</f>
        <v>2019-09-30</v>
      </c>
      <c r="H9" s="3" t="str">
        <f aca="false">INDEX(Contratacion!$F$2:$F$21,MATCH($A9,Contratacion!$A$2:$A$21,0))</f>
        <v>Tecnólogo</v>
      </c>
      <c r="I9" s="3" t="str">
        <f aca="false">INDEX('R.H.'!$C$2:$C$21,MATCH($A9,'R.H.'!$A$2:$A$21,0))</f>
        <v>Activo</v>
      </c>
      <c r="J9" s="3" t="str">
        <f aca="false">INDEX('R.H.'!$E$2:$E$21,MATCH($A9,'R.H.'!$A$2:$A$21,0))</f>
        <v>Medio</v>
      </c>
      <c r="K9" s="3" t="str">
        <f aca="false">INDEX('R.H.'!$F$2:$F$21,MATCH($A9,'R.H.'!$A$2:$A$21,0))</f>
        <v>2026-08-17</v>
      </c>
      <c r="L9" s="3" t="str">
        <f aca="false">INDEX('R.H.'!$G$2:$G$21,MATCH($A9,'R.H.'!$A$2:$A$21,0))</f>
        <v>Bueno</v>
      </c>
      <c r="M9" s="4" t="n">
        <f aca="false">INDEX(Nomina!$D$2:$D$21,MATCH($A9,Nomina!$A$2:$A$21,0))</f>
        <v>3800000</v>
      </c>
      <c r="N9" s="4" t="n">
        <f aca="false">INDEX(Nomina!$E$2:$E$21,MATCH($A9,Nomina!$A$2:$A$21,0))</f>
        <v>280000</v>
      </c>
      <c r="O9" s="4" t="n">
        <f aca="false">INDEX(Nomina!$F$2:$F$21,MATCH($A9,Nomina!$A$2:$A$21,0))</f>
        <v>210000</v>
      </c>
      <c r="P9" s="4" t="n">
        <f aca="false">INDEX(Nomina!$G$2:$G$21,MATCH($A9,Nomina!$A$2:$A$21,0))</f>
        <v>0</v>
      </c>
      <c r="Q9" s="4" t="n">
        <f aca="false">INDEX(Nomina!$H$2:$H$21,MATCH($A9,Nomina!$A$2:$A$21,0))</f>
        <v>3870000</v>
      </c>
    </row>
    <row r="10" customFormat="false" ht="15" hidden="false" customHeight="false" outlineLevel="0" collapsed="false">
      <c r="A10" s="3" t="n">
        <f aca="false">Personal!A10</f>
        <v>1009</v>
      </c>
      <c r="B10" s="3" t="str">
        <f aca="false">Personal!B10</f>
        <v>Valentina Ruiz</v>
      </c>
      <c r="C10" s="3" t="str">
        <f aca="false">Personal!C10</f>
        <v>Administración</v>
      </c>
      <c r="D10" s="3" t="str">
        <f aca="false">Personal!D10</f>
        <v>Secretaria</v>
      </c>
      <c r="E10" s="3" t="str">
        <f aca="false">Personal!E10</f>
        <v>Cali</v>
      </c>
      <c r="F10" s="3" t="str">
        <f aca="false">Personal!G10</f>
        <v>Término fijo</v>
      </c>
      <c r="G10" s="3" t="str">
        <f aca="false">Personal!F10</f>
        <v>2024-01-08</v>
      </c>
      <c r="H10" s="3" t="str">
        <f aca="false">INDEX(Contratacion!$F$2:$F$21,MATCH($A10,Contratacion!$A$2:$A$21,0))</f>
        <v>Técnico</v>
      </c>
      <c r="I10" s="3" t="str">
        <f aca="false">INDEX('R.H.'!$C$2:$C$21,MATCH($A10,'R.H.'!$A$2:$A$21,0))</f>
        <v>Activa</v>
      </c>
      <c r="J10" s="3" t="str">
        <f aca="false">INDEX('R.H.'!$E$2:$E$21,MATCH($A10,'R.H.'!$A$2:$A$21,0))</f>
        <v>Medio</v>
      </c>
      <c r="K10" s="3" t="str">
        <f aca="false">INDEX('R.H.'!$F$2:$F$21,MATCH($A10,'R.H.'!$A$2:$A$21,0))</f>
        <v>2026-08-14</v>
      </c>
      <c r="L10" s="3" t="str">
        <f aca="false">INDEX('R.H.'!$G$2:$G$21,MATCH($A10,'R.H.'!$A$2:$A$21,0))</f>
        <v>Bueno</v>
      </c>
      <c r="M10" s="4" t="n">
        <f aca="false">INDEX(Nomina!$D$2:$D$21,MATCH($A10,Nomina!$A$2:$A$21,0))</f>
        <v>2400000</v>
      </c>
      <c r="N10" s="4" t="n">
        <f aca="false">INDEX(Nomina!$E$2:$E$21,MATCH($A10,Nomina!$A$2:$A$21,0))</f>
        <v>150000</v>
      </c>
      <c r="O10" s="4" t="n">
        <f aca="false">INDEX(Nomina!$F$2:$F$21,MATCH($A10,Nomina!$A$2:$A$21,0))</f>
        <v>100000</v>
      </c>
      <c r="P10" s="4" t="n">
        <f aca="false">INDEX(Nomina!$G$2:$G$21,MATCH($A10,Nomina!$A$2:$A$21,0))</f>
        <v>0</v>
      </c>
      <c r="Q10" s="4" t="n">
        <f aca="false">INDEX(Nomina!$H$2:$H$21,MATCH($A10,Nomina!$A$2:$A$21,0))</f>
        <v>2450000</v>
      </c>
    </row>
    <row r="11" customFormat="false" ht="15" hidden="false" customHeight="false" outlineLevel="0" collapsed="false">
      <c r="A11" s="3" t="n">
        <f aca="false">Personal!A11</f>
        <v>1010</v>
      </c>
      <c r="B11" s="3" t="str">
        <f aca="false">Personal!B11</f>
        <v>Mateo Herrera</v>
      </c>
      <c r="C11" s="3" t="str">
        <f aca="false">Personal!C11</f>
        <v>Ingeniería</v>
      </c>
      <c r="D11" s="3" t="str">
        <f aca="false">Personal!D11</f>
        <v>Ingeniero</v>
      </c>
      <c r="E11" s="3" t="str">
        <f aca="false">Personal!E11</f>
        <v>Bogotá</v>
      </c>
      <c r="F11" s="3" t="str">
        <f aca="false">Personal!G11</f>
        <v>Indefinido</v>
      </c>
      <c r="G11" s="3" t="str">
        <f aca="false">Personal!F11</f>
        <v>2018-06-25</v>
      </c>
      <c r="H11" s="3" t="str">
        <f aca="false">INDEX(Contratacion!$F$2:$F$21,MATCH($A11,Contratacion!$A$2:$A$21,0))</f>
        <v>Profesional</v>
      </c>
      <c r="I11" s="3" t="str">
        <f aca="false">INDEX('R.H.'!$C$2:$C$21,MATCH($A11,'R.H.'!$A$2:$A$21,0))</f>
        <v>Activo</v>
      </c>
      <c r="J11" s="3" t="str">
        <f aca="false">INDEX('R.H.'!$E$2:$E$21,MATCH($A11,'R.H.'!$A$2:$A$21,0))</f>
        <v>Alto</v>
      </c>
      <c r="K11" s="3" t="str">
        <f aca="false">INDEX('R.H.'!$F$2:$F$21,MATCH($A11,'R.H.'!$A$2:$A$21,0))</f>
        <v>2026-08-25</v>
      </c>
      <c r="L11" s="3" t="str">
        <f aca="false">INDEX('R.H.'!$G$2:$G$21,MATCH($A11,'R.H.'!$A$2:$A$21,0))</f>
        <v>Excelente</v>
      </c>
      <c r="M11" s="4" t="n">
        <f aca="false">INDEX(Nomina!$D$2:$D$21,MATCH($A11,Nomina!$A$2:$A$21,0))</f>
        <v>4500000</v>
      </c>
      <c r="N11" s="4" t="n">
        <f aca="false">INDEX(Nomina!$E$2:$E$21,MATCH($A11,Nomina!$A$2:$A$21,0))</f>
        <v>400000</v>
      </c>
      <c r="O11" s="4" t="n">
        <f aca="false">INDEX(Nomina!$F$2:$F$21,MATCH($A11,Nomina!$A$2:$A$21,0))</f>
        <v>300000</v>
      </c>
      <c r="P11" s="4" t="n">
        <f aca="false">INDEX(Nomina!$G$2:$G$21,MATCH($A11,Nomina!$A$2:$A$21,0))</f>
        <v>150000</v>
      </c>
      <c r="Q11" s="4" t="n">
        <f aca="false">INDEX(Nomina!$H$2:$H$21,MATCH($A11,Nomina!$A$2:$A$21,0))</f>
        <v>4750000</v>
      </c>
    </row>
    <row r="12" customFormat="false" ht="15" hidden="false" customHeight="false" outlineLevel="0" collapsed="false">
      <c r="A12" s="3" t="n">
        <f aca="false">Personal!A12</f>
        <v>1011</v>
      </c>
      <c r="B12" s="3" t="str">
        <f aca="false">Personal!B12</f>
        <v>Camila Vargas</v>
      </c>
      <c r="C12" s="3" t="str">
        <f aca="false">Personal!C12</f>
        <v>Mercadeo</v>
      </c>
      <c r="D12" s="3" t="str">
        <f aca="false">Personal!D12</f>
        <v>Mercadeo</v>
      </c>
      <c r="E12" s="3" t="str">
        <f aca="false">Personal!E12</f>
        <v>Medellín</v>
      </c>
      <c r="F12" s="3" t="str">
        <f aca="false">Personal!G12</f>
        <v>Indefinido</v>
      </c>
      <c r="G12" s="3" t="str">
        <f aca="false">Personal!F12</f>
        <v>2022-04-12</v>
      </c>
      <c r="H12" s="3" t="str">
        <f aca="false">INDEX(Contratacion!$F$2:$F$21,MATCH($A12,Contratacion!$A$2:$A$21,0))</f>
        <v>Profesional</v>
      </c>
      <c r="I12" s="3" t="str">
        <f aca="false">INDEX('R.H.'!$C$2:$C$21,MATCH($A12,'R.H.'!$A$2:$A$21,0))</f>
        <v>Activa</v>
      </c>
      <c r="J12" s="3" t="str">
        <f aca="false">INDEX('R.H.'!$E$2:$E$21,MATCH($A12,'R.H.'!$A$2:$A$21,0))</f>
        <v>Medio</v>
      </c>
      <c r="K12" s="3" t="str">
        <f aca="false">INDEX('R.H.'!$F$2:$F$21,MATCH($A12,'R.H.'!$A$2:$A$21,0))</f>
        <v>2026-08-19</v>
      </c>
      <c r="L12" s="3" t="str">
        <f aca="false">INDEX('R.H.'!$G$2:$G$21,MATCH($A12,'R.H.'!$A$2:$A$21,0))</f>
        <v>Bueno</v>
      </c>
      <c r="M12" s="4" t="n">
        <f aca="false">INDEX(Nomina!$D$2:$D$21,MATCH($A12,Nomina!$A$2:$A$21,0))</f>
        <v>3100000</v>
      </c>
      <c r="N12" s="4" t="n">
        <f aca="false">INDEX(Nomina!$E$2:$E$21,MATCH($A12,Nomina!$A$2:$A$21,0))</f>
        <v>210000</v>
      </c>
      <c r="O12" s="4" t="n">
        <f aca="false">INDEX(Nomina!$F$2:$F$21,MATCH($A12,Nomina!$A$2:$A$21,0))</f>
        <v>140000</v>
      </c>
      <c r="P12" s="4" t="n">
        <f aca="false">INDEX(Nomina!$G$2:$G$21,MATCH($A12,Nomina!$A$2:$A$21,0))</f>
        <v>0</v>
      </c>
      <c r="Q12" s="4" t="n">
        <f aca="false">INDEX(Nomina!$H$2:$H$21,MATCH($A12,Nomina!$A$2:$A$21,0))</f>
        <v>3170000</v>
      </c>
    </row>
    <row r="13" customFormat="false" ht="15" hidden="false" customHeight="false" outlineLevel="0" collapsed="false">
      <c r="A13" s="3" t="n">
        <f aca="false">Personal!A13</f>
        <v>1012</v>
      </c>
      <c r="B13" s="3" t="str">
        <f aca="false">Personal!B13</f>
        <v>Sebastián Moreno</v>
      </c>
      <c r="C13" s="3" t="str">
        <f aca="false">Personal!C13</f>
        <v>Comercial</v>
      </c>
      <c r="D13" s="3" t="str">
        <f aca="false">Personal!D13</f>
        <v>Vendedor</v>
      </c>
      <c r="E13" s="3" t="str">
        <f aca="false">Personal!E13</f>
        <v>Cali</v>
      </c>
      <c r="F13" s="3" t="str">
        <f aca="false">Personal!G13</f>
        <v>Indefinido</v>
      </c>
      <c r="G13" s="3" t="str">
        <f aca="false">Personal!F13</f>
        <v>2023-10-02</v>
      </c>
      <c r="H13" s="3" t="str">
        <f aca="false">INDEX(Contratacion!$F$2:$F$21,MATCH($A13,Contratacion!$A$2:$A$21,0))</f>
        <v>Tecnólogo</v>
      </c>
      <c r="I13" s="3" t="str">
        <f aca="false">INDEX('R.H.'!$C$2:$C$21,MATCH($A13,'R.H.'!$A$2:$A$21,0))</f>
        <v>Activo</v>
      </c>
      <c r="J13" s="3" t="str">
        <f aca="false">INDEX('R.H.'!$E$2:$E$21,MATCH($A13,'R.H.'!$A$2:$A$21,0))</f>
        <v>Bajo</v>
      </c>
      <c r="K13" s="3" t="str">
        <f aca="false">INDEX('R.H.'!$F$2:$F$21,MATCH($A13,'R.H.'!$A$2:$A$21,0))</f>
        <v>2026-08-11</v>
      </c>
      <c r="L13" s="3" t="str">
        <f aca="false">INDEX('R.H.'!$G$2:$G$21,MATCH($A13,'R.H.'!$A$2:$A$21,0))</f>
        <v>Bueno</v>
      </c>
      <c r="M13" s="4" t="n">
        <f aca="false">INDEX(Nomina!$D$2:$D$21,MATCH($A13,Nomina!$A$2:$A$21,0))</f>
        <v>2700000</v>
      </c>
      <c r="N13" s="4" t="n">
        <f aca="false">INDEX(Nomina!$E$2:$E$21,MATCH($A13,Nomina!$A$2:$A$21,0))</f>
        <v>190000</v>
      </c>
      <c r="O13" s="4" t="n">
        <f aca="false">INDEX(Nomina!$F$2:$F$21,MATCH($A13,Nomina!$A$2:$A$21,0))</f>
        <v>130000</v>
      </c>
      <c r="P13" s="4" t="n">
        <f aca="false">INDEX(Nomina!$G$2:$G$21,MATCH($A13,Nomina!$A$2:$A$21,0))</f>
        <v>200000</v>
      </c>
      <c r="Q13" s="4" t="n">
        <f aca="false">INDEX(Nomina!$H$2:$H$21,MATCH($A13,Nomina!$A$2:$A$21,0))</f>
        <v>2560000</v>
      </c>
    </row>
    <row r="14" customFormat="false" ht="15" hidden="false" customHeight="false" outlineLevel="0" collapsed="false">
      <c r="A14" s="3" t="n">
        <f aca="false">Personal!A14</f>
        <v>1013</v>
      </c>
      <c r="B14" s="3" t="str">
        <f aca="false">Personal!B14</f>
        <v>Paula Sánchez</v>
      </c>
      <c r="C14" s="3" t="str">
        <f aca="false">Personal!C14</f>
        <v>Legal</v>
      </c>
      <c r="D14" s="3" t="str">
        <f aca="false">Personal!D14</f>
        <v>Abogada</v>
      </c>
      <c r="E14" s="3" t="str">
        <f aca="false">Personal!E14</f>
        <v>Bogotá</v>
      </c>
      <c r="F14" s="3" t="str">
        <f aca="false">Personal!G14</f>
        <v>Indefinido</v>
      </c>
      <c r="G14" s="3" t="str">
        <f aca="false">Personal!F14</f>
        <v>2020-12-01</v>
      </c>
      <c r="H14" s="3" t="str">
        <f aca="false">INDEX(Contratacion!$F$2:$F$21,MATCH($A14,Contratacion!$A$2:$A$21,0))</f>
        <v>Profesional</v>
      </c>
      <c r="I14" s="3" t="str">
        <f aca="false">INDEX('R.H.'!$C$2:$C$21,MATCH($A14,'R.H.'!$A$2:$A$21,0))</f>
        <v>Activa</v>
      </c>
      <c r="J14" s="3" t="str">
        <f aca="false">INDEX('R.H.'!$E$2:$E$21,MATCH($A14,'R.H.'!$A$2:$A$21,0))</f>
        <v>Alto</v>
      </c>
      <c r="K14" s="3" t="str">
        <f aca="false">INDEX('R.H.'!$F$2:$F$21,MATCH($A14,'R.H.'!$A$2:$A$21,0))</f>
        <v>2026-08-23</v>
      </c>
      <c r="L14" s="3" t="str">
        <f aca="false">INDEX('R.H.'!$G$2:$G$21,MATCH($A14,'R.H.'!$A$2:$A$21,0))</f>
        <v>Excelente</v>
      </c>
      <c r="M14" s="4" t="n">
        <f aca="false">INDEX(Nomina!$D$2:$D$21,MATCH($A14,Nomina!$A$2:$A$21,0))</f>
        <v>4000000</v>
      </c>
      <c r="N14" s="4" t="n">
        <f aca="false">INDEX(Nomina!$E$2:$E$21,MATCH($A14,Nomina!$A$2:$A$21,0))</f>
        <v>320000</v>
      </c>
      <c r="O14" s="4" t="n">
        <f aca="false">INDEX(Nomina!$F$2:$F$21,MATCH($A14,Nomina!$A$2:$A$21,0))</f>
        <v>220000</v>
      </c>
      <c r="P14" s="4" t="n">
        <f aca="false">INDEX(Nomina!$G$2:$G$21,MATCH($A14,Nomina!$A$2:$A$21,0))</f>
        <v>0</v>
      </c>
      <c r="Q14" s="4" t="n">
        <f aca="false">INDEX(Nomina!$H$2:$H$21,MATCH($A14,Nomina!$A$2:$A$21,0))</f>
        <v>4100000</v>
      </c>
    </row>
    <row r="15" customFormat="false" ht="15" hidden="false" customHeight="false" outlineLevel="0" collapsed="false">
      <c r="A15" s="3" t="n">
        <f aca="false">Personal!A15</f>
        <v>1014</v>
      </c>
      <c r="B15" s="3" t="str">
        <f aca="false">Personal!B15</f>
        <v>Felipe Díaz</v>
      </c>
      <c r="C15" s="3" t="str">
        <f aca="false">Personal!C15</f>
        <v>Logística</v>
      </c>
      <c r="D15" s="3" t="str">
        <f aca="false">Personal!D15</f>
        <v>Logística</v>
      </c>
      <c r="E15" s="3" t="str">
        <f aca="false">Personal!E15</f>
        <v>Barranquilla</v>
      </c>
      <c r="F15" s="3" t="str">
        <f aca="false">Personal!G15</f>
        <v>Indefinido</v>
      </c>
      <c r="G15" s="3" t="str">
        <f aca="false">Personal!F15</f>
        <v>2021-03-22</v>
      </c>
      <c r="H15" s="3" t="str">
        <f aca="false">INDEX(Contratacion!$F$2:$F$21,MATCH($A15,Contratacion!$A$2:$A$21,0))</f>
        <v>Tecnólogo</v>
      </c>
      <c r="I15" s="3" t="str">
        <f aca="false">INDEX('R.H.'!$C$2:$C$21,MATCH($A15,'R.H.'!$A$2:$A$21,0))</f>
        <v>Activo</v>
      </c>
      <c r="J15" s="3" t="str">
        <f aca="false">INDEX('R.H.'!$E$2:$E$21,MATCH($A15,'R.H.'!$A$2:$A$21,0))</f>
        <v>Medio</v>
      </c>
      <c r="K15" s="3" t="str">
        <f aca="false">INDEX('R.H.'!$F$2:$F$21,MATCH($A15,'R.H.'!$A$2:$A$21,0))</f>
        <v>2026-08-16</v>
      </c>
      <c r="L15" s="3" t="str">
        <f aca="false">INDEX('R.H.'!$G$2:$G$21,MATCH($A15,'R.H.'!$A$2:$A$21,0))</f>
        <v>Bueno</v>
      </c>
      <c r="M15" s="4" t="n">
        <f aca="false">INDEX(Nomina!$D$2:$D$21,MATCH($A15,Nomina!$A$2:$A$21,0))</f>
        <v>2900000</v>
      </c>
      <c r="N15" s="4" t="n">
        <f aca="false">INDEX(Nomina!$E$2:$E$21,MATCH($A15,Nomina!$A$2:$A$21,0))</f>
        <v>200000</v>
      </c>
      <c r="O15" s="4" t="n">
        <f aca="false">INDEX(Nomina!$F$2:$F$21,MATCH($A15,Nomina!$A$2:$A$21,0))</f>
        <v>150000</v>
      </c>
      <c r="P15" s="4" t="n">
        <f aca="false">INDEX(Nomina!$G$2:$G$21,MATCH($A15,Nomina!$A$2:$A$21,0))</f>
        <v>0</v>
      </c>
      <c r="Q15" s="4" t="n">
        <f aca="false">INDEX(Nomina!$H$2:$H$21,MATCH($A15,Nomina!$A$2:$A$21,0))</f>
        <v>2950000</v>
      </c>
    </row>
    <row r="16" customFormat="false" ht="15" hidden="false" customHeight="false" outlineLevel="0" collapsed="false">
      <c r="A16" s="3" t="n">
        <f aca="false">Personal!A16</f>
        <v>1015</v>
      </c>
      <c r="B16" s="3" t="str">
        <f aca="false">Personal!B16</f>
        <v>Natalia Rojas</v>
      </c>
      <c r="C16" s="3" t="str">
        <f aca="false">Personal!C16</f>
        <v>R.H.</v>
      </c>
      <c r="D16" s="3" t="str">
        <f aca="false">Personal!D16</f>
        <v>Psicóloga</v>
      </c>
      <c r="E16" s="3" t="str">
        <f aca="false">Personal!E16</f>
        <v>Bogotá</v>
      </c>
      <c r="F16" s="3" t="str">
        <f aca="false">Personal!G16</f>
        <v>Indefinido</v>
      </c>
      <c r="G16" s="3" t="str">
        <f aca="false">Personal!F16</f>
        <v>2022-09-19</v>
      </c>
      <c r="H16" s="3" t="str">
        <f aca="false">INDEX(Contratacion!$F$2:$F$21,MATCH($A16,Contratacion!$A$2:$A$21,0))</f>
        <v>Profesional</v>
      </c>
      <c r="I16" s="3" t="str">
        <f aca="false">INDEX('R.H.'!$C$2:$C$21,MATCH($A16,'R.H.'!$A$2:$A$21,0))</f>
        <v>Activa</v>
      </c>
      <c r="J16" s="3" t="str">
        <f aca="false">INDEX('R.H.'!$E$2:$E$21,MATCH($A16,'R.H.'!$A$2:$A$21,0))</f>
        <v>Alto</v>
      </c>
      <c r="K16" s="3" t="str">
        <f aca="false">INDEX('R.H.'!$F$2:$F$21,MATCH($A16,'R.H.'!$A$2:$A$21,0))</f>
        <v>2026-08-24</v>
      </c>
      <c r="L16" s="3" t="str">
        <f aca="false">INDEX('R.H.'!$G$2:$G$21,MATCH($A16,'R.H.'!$A$2:$A$21,0))</f>
        <v>Excelente</v>
      </c>
      <c r="M16" s="4" t="n">
        <f aca="false">INDEX(Nomina!$D$2:$D$21,MATCH($A16,Nomina!$A$2:$A$21,0))</f>
        <v>3400000</v>
      </c>
      <c r="N16" s="4" t="n">
        <f aca="false">INDEX(Nomina!$E$2:$E$21,MATCH($A16,Nomina!$A$2:$A$21,0))</f>
        <v>230000</v>
      </c>
      <c r="O16" s="4" t="n">
        <f aca="false">INDEX(Nomina!$F$2:$F$21,MATCH($A16,Nomina!$A$2:$A$21,0))</f>
        <v>180000</v>
      </c>
      <c r="P16" s="4" t="n">
        <f aca="false">INDEX(Nomina!$G$2:$G$21,MATCH($A16,Nomina!$A$2:$A$21,0))</f>
        <v>0</v>
      </c>
      <c r="Q16" s="4" t="n">
        <f aca="false">INDEX(Nomina!$H$2:$H$21,MATCH($A16,Nomina!$A$2:$A$21,0))</f>
        <v>3450000</v>
      </c>
    </row>
    <row r="17" customFormat="false" ht="15" hidden="false" customHeight="false" outlineLevel="0" collapsed="false">
      <c r="A17" s="3" t="n">
        <f aca="false">Personal!A17</f>
        <v>1016</v>
      </c>
      <c r="B17" s="3" t="str">
        <f aca="false">Personal!B17</f>
        <v>Daniel Ortiz</v>
      </c>
      <c r="C17" s="3" t="str">
        <f aca="false">Personal!C17</f>
        <v>Tecnología</v>
      </c>
      <c r="D17" s="3" t="str">
        <f aca="false">Personal!D17</f>
        <v>Soporte TI</v>
      </c>
      <c r="E17" s="3" t="str">
        <f aca="false">Personal!E17</f>
        <v>Medellín</v>
      </c>
      <c r="F17" s="3" t="str">
        <f aca="false">Personal!G17</f>
        <v>Indefinido</v>
      </c>
      <c r="G17" s="3" t="str">
        <f aca="false">Personal!F17</f>
        <v>2023-02-06</v>
      </c>
      <c r="H17" s="3" t="str">
        <f aca="false">INDEX(Contratacion!$F$2:$F$21,MATCH($A17,Contratacion!$A$2:$A$21,0))</f>
        <v>Tecnólogo</v>
      </c>
      <c r="I17" s="3" t="str">
        <f aca="false">INDEX('R.H.'!$C$2:$C$21,MATCH($A17,'R.H.'!$A$2:$A$21,0))</f>
        <v>Activo</v>
      </c>
      <c r="J17" s="3" t="str">
        <f aca="false">INDEX('R.H.'!$E$2:$E$21,MATCH($A17,'R.H.'!$A$2:$A$21,0))</f>
        <v>Medio</v>
      </c>
      <c r="K17" s="3" t="str">
        <f aca="false">INDEX('R.H.'!$F$2:$F$21,MATCH($A17,'R.H.'!$A$2:$A$21,0))</f>
        <v>2026-08-13</v>
      </c>
      <c r="L17" s="3" t="str">
        <f aca="false">INDEX('R.H.'!$G$2:$G$21,MATCH($A17,'R.H.'!$A$2:$A$21,0))</f>
        <v>Bueno</v>
      </c>
      <c r="M17" s="4" t="n">
        <f aca="false">INDEX(Nomina!$D$2:$D$21,MATCH($A17,Nomina!$A$2:$A$21,0))</f>
        <v>3000000</v>
      </c>
      <c r="N17" s="4" t="n">
        <f aca="false">INDEX(Nomina!$E$2:$E$21,MATCH($A17,Nomina!$A$2:$A$21,0))</f>
        <v>210000</v>
      </c>
      <c r="O17" s="4" t="n">
        <f aca="false">INDEX(Nomina!$F$2:$F$21,MATCH($A17,Nomina!$A$2:$A$21,0))</f>
        <v>150000</v>
      </c>
      <c r="P17" s="4" t="n">
        <f aca="false">INDEX(Nomina!$G$2:$G$21,MATCH($A17,Nomina!$A$2:$A$21,0))</f>
        <v>0</v>
      </c>
      <c r="Q17" s="4" t="n">
        <f aca="false">INDEX(Nomina!$H$2:$H$21,MATCH($A17,Nomina!$A$2:$A$21,0))</f>
        <v>3060000</v>
      </c>
    </row>
    <row r="18" customFormat="false" ht="15" hidden="false" customHeight="false" outlineLevel="0" collapsed="false">
      <c r="A18" s="3" t="n">
        <f aca="false">Personal!A18</f>
        <v>1017</v>
      </c>
      <c r="B18" s="3" t="str">
        <f aca="false">Personal!B18</f>
        <v>Juliana Molina</v>
      </c>
      <c r="C18" s="3" t="str">
        <f aca="false">Personal!C18</f>
        <v>Administración</v>
      </c>
      <c r="D18" s="3" t="str">
        <f aca="false">Personal!D18</f>
        <v>Asistente</v>
      </c>
      <c r="E18" s="3" t="str">
        <f aca="false">Personal!E18</f>
        <v>Cali</v>
      </c>
      <c r="F18" s="3" t="str">
        <f aca="false">Personal!G18</f>
        <v>Término fijo</v>
      </c>
      <c r="G18" s="3" t="str">
        <f aca="false">Personal!F18</f>
        <v>2024-05-13</v>
      </c>
      <c r="H18" s="3" t="str">
        <f aca="false">INDEX(Contratacion!$F$2:$F$21,MATCH($A18,Contratacion!$A$2:$A$21,0))</f>
        <v>Técnico</v>
      </c>
      <c r="I18" s="3" t="str">
        <f aca="false">INDEX('R.H.'!$C$2:$C$21,MATCH($A18,'R.H.'!$A$2:$A$21,0))</f>
        <v>Activa</v>
      </c>
      <c r="J18" s="3" t="str">
        <f aca="false">INDEX('R.H.'!$E$2:$E$21,MATCH($A18,'R.H.'!$A$2:$A$21,0))</f>
        <v>Bajo</v>
      </c>
      <c r="K18" s="3" t="str">
        <f aca="false">INDEX('R.H.'!$F$2:$F$21,MATCH($A18,'R.H.'!$A$2:$A$21,0))</f>
        <v>2026-08-09</v>
      </c>
      <c r="L18" s="3" t="str">
        <f aca="false">INDEX('R.H.'!$G$2:$G$21,MATCH($A18,'R.H.'!$A$2:$A$21,0))</f>
        <v>Bueno</v>
      </c>
      <c r="M18" s="4" t="n">
        <f aca="false">INDEX(Nomina!$D$2:$D$21,MATCH($A18,Nomina!$A$2:$A$21,0))</f>
        <v>2300000</v>
      </c>
      <c r="N18" s="4" t="n">
        <f aca="false">INDEX(Nomina!$E$2:$E$21,MATCH($A18,Nomina!$A$2:$A$21,0))</f>
        <v>140000</v>
      </c>
      <c r="O18" s="4" t="n">
        <f aca="false">INDEX(Nomina!$F$2:$F$21,MATCH($A18,Nomina!$A$2:$A$21,0))</f>
        <v>90000</v>
      </c>
      <c r="P18" s="4" t="n">
        <f aca="false">INDEX(Nomina!$G$2:$G$21,MATCH($A18,Nomina!$A$2:$A$21,0))</f>
        <v>0</v>
      </c>
      <c r="Q18" s="4" t="n">
        <f aca="false">INDEX(Nomina!$H$2:$H$21,MATCH($A18,Nomina!$A$2:$A$21,0))</f>
        <v>2350000</v>
      </c>
    </row>
    <row r="19" customFormat="false" ht="15" hidden="false" customHeight="false" outlineLevel="0" collapsed="false">
      <c r="A19" s="3" t="n">
        <f aca="false">Personal!A19</f>
        <v>1018</v>
      </c>
      <c r="B19" s="3" t="str">
        <f aca="false">Personal!B19</f>
        <v>Santiago León</v>
      </c>
      <c r="C19" s="3" t="str">
        <f aca="false">Personal!C19</f>
        <v>Ingeniería</v>
      </c>
      <c r="D19" s="3" t="str">
        <f aca="false">Personal!D19</f>
        <v>Arquitecto</v>
      </c>
      <c r="E19" s="3" t="str">
        <f aca="false">Personal!E19</f>
        <v>Bogotá</v>
      </c>
      <c r="F19" s="3" t="str">
        <f aca="false">Personal!G19</f>
        <v>Indefinido</v>
      </c>
      <c r="G19" s="3" t="str">
        <f aca="false">Personal!F19</f>
        <v>2019-07-29</v>
      </c>
      <c r="H19" s="3" t="str">
        <f aca="false">INDEX(Contratacion!$F$2:$F$21,MATCH($A19,Contratacion!$A$2:$A$21,0))</f>
        <v>Profesional</v>
      </c>
      <c r="I19" s="3" t="str">
        <f aca="false">INDEX('R.H.'!$C$2:$C$21,MATCH($A19,'R.H.'!$A$2:$A$21,0))</f>
        <v>Activo</v>
      </c>
      <c r="J19" s="3" t="str">
        <f aca="false">INDEX('R.H.'!$E$2:$E$21,MATCH($A19,'R.H.'!$A$2:$A$21,0))</f>
        <v>Alto</v>
      </c>
      <c r="K19" s="3" t="str">
        <f aca="false">INDEX('R.H.'!$F$2:$F$21,MATCH($A19,'R.H.'!$A$2:$A$21,0))</f>
        <v>2026-08-26</v>
      </c>
      <c r="L19" s="3" t="str">
        <f aca="false">INDEX('R.H.'!$G$2:$G$21,MATCH($A19,'R.H.'!$A$2:$A$21,0))</f>
        <v>Excelente</v>
      </c>
      <c r="M19" s="4" t="n">
        <f aca="false">INDEX(Nomina!$D$2:$D$21,MATCH($A19,Nomina!$A$2:$A$21,0))</f>
        <v>4300000</v>
      </c>
      <c r="N19" s="4" t="n">
        <f aca="false">INDEX(Nomina!$E$2:$E$21,MATCH($A19,Nomina!$A$2:$A$21,0))</f>
        <v>360000</v>
      </c>
      <c r="O19" s="4" t="n">
        <f aca="false">INDEX(Nomina!$F$2:$F$21,MATCH($A19,Nomina!$A$2:$A$21,0))</f>
        <v>260000</v>
      </c>
      <c r="P19" s="4" t="n">
        <f aca="false">INDEX(Nomina!$G$2:$G$21,MATCH($A19,Nomina!$A$2:$A$21,0))</f>
        <v>0</v>
      </c>
      <c r="Q19" s="4" t="n">
        <f aca="false">INDEX(Nomina!$H$2:$H$21,MATCH($A19,Nomina!$A$2:$A$21,0))</f>
        <v>4400000</v>
      </c>
    </row>
    <row r="20" customFormat="false" ht="15" hidden="false" customHeight="false" outlineLevel="0" collapsed="false">
      <c r="A20" s="3" t="n">
        <f aca="false">Personal!A20</f>
        <v>1019</v>
      </c>
      <c r="B20" s="3" t="str">
        <f aca="false">Personal!B20</f>
        <v>Isabella Peña</v>
      </c>
      <c r="C20" s="3" t="str">
        <f aca="false">Personal!C20</f>
        <v>Comercial</v>
      </c>
      <c r="D20" s="3" t="str">
        <f aca="false">Personal!D20</f>
        <v>Comercial</v>
      </c>
      <c r="E20" s="3" t="str">
        <f aca="false">Personal!E20</f>
        <v>Medellín</v>
      </c>
      <c r="F20" s="3" t="str">
        <f aca="false">Personal!G20</f>
        <v>Indefinido</v>
      </c>
      <c r="G20" s="3" t="str">
        <f aca="false">Personal!F20</f>
        <v>2022-12-05</v>
      </c>
      <c r="H20" s="3" t="str">
        <f aca="false">INDEX(Contratacion!$F$2:$F$21,MATCH($A20,Contratacion!$A$2:$A$21,0))</f>
        <v>Profesional</v>
      </c>
      <c r="I20" s="3" t="str">
        <f aca="false">INDEX('R.H.'!$C$2:$C$21,MATCH($A20,'R.H.'!$A$2:$A$21,0))</f>
        <v>Activa</v>
      </c>
      <c r="J20" s="3" t="str">
        <f aca="false">INDEX('R.H.'!$E$2:$E$21,MATCH($A20,'R.H.'!$A$2:$A$21,0))</f>
        <v>Medio</v>
      </c>
      <c r="K20" s="3" t="str">
        <f aca="false">INDEX('R.H.'!$F$2:$F$21,MATCH($A20,'R.H.'!$A$2:$A$21,0))</f>
        <v>2026-08-18</v>
      </c>
      <c r="L20" s="3" t="str">
        <f aca="false">INDEX('R.H.'!$G$2:$G$21,MATCH($A20,'R.H.'!$A$2:$A$21,0))</f>
        <v>Bueno</v>
      </c>
      <c r="M20" s="4" t="n">
        <f aca="false">INDEX(Nomina!$D$2:$D$21,MATCH($A20,Nomina!$A$2:$A$21,0))</f>
        <v>2800000</v>
      </c>
      <c r="N20" s="4" t="n">
        <f aca="false">INDEX(Nomina!$E$2:$E$21,MATCH($A20,Nomina!$A$2:$A$21,0))</f>
        <v>180000</v>
      </c>
      <c r="O20" s="4" t="n">
        <f aca="false">INDEX(Nomina!$F$2:$F$21,MATCH($A20,Nomina!$A$2:$A$21,0))</f>
        <v>120000</v>
      </c>
      <c r="P20" s="4" t="n">
        <f aca="false">INDEX(Nomina!$G$2:$G$21,MATCH($A20,Nomina!$A$2:$A$21,0))</f>
        <v>100000</v>
      </c>
      <c r="Q20" s="4" t="n">
        <f aca="false">INDEX(Nomina!$H$2:$H$21,MATCH($A20,Nomina!$A$2:$A$21,0))</f>
        <v>2900000</v>
      </c>
    </row>
    <row r="21" customFormat="false" ht="15" hidden="false" customHeight="false" outlineLevel="0" collapsed="false">
      <c r="A21" s="3" t="n">
        <f aca="false">Personal!A21</f>
        <v>1020</v>
      </c>
      <c r="B21" s="3" t="str">
        <f aca="false">Personal!B21</f>
        <v>Nicolás Silva</v>
      </c>
      <c r="C21" s="3" t="str">
        <f aca="false">Personal!C21</f>
        <v>Operaciones</v>
      </c>
      <c r="D21" s="3" t="str">
        <f aca="false">Personal!D21</f>
        <v>Coordinador</v>
      </c>
      <c r="E21" s="3" t="str">
        <f aca="false">Personal!E21</f>
        <v>Bogotá</v>
      </c>
      <c r="F21" s="3" t="str">
        <f aca="false">Personal!G21</f>
        <v>Indefinido</v>
      </c>
      <c r="G21" s="3" t="str">
        <f aca="false">Personal!F21</f>
        <v>2020-08-17</v>
      </c>
      <c r="H21" s="3" t="str">
        <f aca="false">INDEX(Contratacion!$F$2:$F$21,MATCH($A21,Contratacion!$A$2:$A$21,0))</f>
        <v>Profesional</v>
      </c>
      <c r="I21" s="3" t="str">
        <f aca="false">INDEX('R.H.'!$C$2:$C$21,MATCH($A21,'R.H.'!$A$2:$A$21,0))</f>
        <v>Activo</v>
      </c>
      <c r="J21" s="3" t="str">
        <f aca="false">INDEX('R.H.'!$E$2:$E$21,MATCH($A21,'R.H.'!$A$2:$A$21,0))</f>
        <v>Alto</v>
      </c>
      <c r="K21" s="3" t="str">
        <f aca="false">INDEX('R.H.'!$F$2:$F$21,MATCH($A21,'R.H.'!$A$2:$A$21,0))</f>
        <v>2026-08-27</v>
      </c>
      <c r="L21" s="3" t="str">
        <f aca="false">INDEX('R.H.'!$G$2:$G$21,MATCH($A21,'R.H.'!$A$2:$A$21,0))</f>
        <v>Excelente</v>
      </c>
      <c r="M21" s="4" t="n">
        <f aca="false">INDEX(Nomina!$D$2:$D$21,MATCH($A21,Nomina!$A$2:$A$21,0))</f>
        <v>3900000</v>
      </c>
      <c r="N21" s="4" t="n">
        <f aca="false">INDEX(Nomina!$E$2:$E$21,MATCH($A21,Nomina!$A$2:$A$21,0))</f>
        <v>300000</v>
      </c>
      <c r="O21" s="4" t="n">
        <f aca="false">INDEX(Nomina!$F$2:$F$21,MATCH($A21,Nomina!$A$2:$A$21,0))</f>
        <v>220000</v>
      </c>
      <c r="P21" s="4" t="n">
        <f aca="false">INDEX(Nomina!$G$2:$G$21,MATCH($A21,Nomina!$A$2:$A$21,0))</f>
        <v>0</v>
      </c>
      <c r="Q21" s="4" t="n">
        <f aca="false">INDEX(Nomina!$H$2:$H$21,MATCH($A21,Nomina!$A$2:$A$21,0))</f>
        <v>3980000</v>
      </c>
    </row>
  </sheetData>
  <autoFilter ref="A1:Q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2026-09-08T14:37:59Z</dcterms:created>
  <dc:creator>openpyxl</dc:creator>
  <dc:description/>
  <dc:language>en-US</dc:language>
  <cp:lastModifiedBy/>
  <dcterms:modified xsi:type="dcterms:W3CDTF">2026-09-08T14:43:12Z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